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8_{901263C7-9287-4EAD-AABC-08354D628E0B}" xr6:coauthVersionLast="47" xr6:coauthVersionMax="47" xr10:uidLastSave="{00000000-0000-0000-0000-000000000000}"/>
  <bookViews>
    <workbookView xWindow="-110" yWindow="-110" windowWidth="19420" windowHeight="10300" activeTab="1" xr2:uid="{F460354B-D300-4BF1-A185-2B9733EC614B}"/>
  </bookViews>
  <sheets>
    <sheet name="Row Data" sheetId="2" r:id="rId1"/>
    <sheet name="Clean Data" sheetId="1" r:id="rId2"/>
    <sheet name="Analysis" sheetId="3" r:id="rId3"/>
    <sheet name="Pivot Tables" sheetId="6" r:id="rId4"/>
    <sheet name="Dashboard" sheetId="10" r:id="rId5"/>
  </sheets>
  <definedNames>
    <definedName name="_xlnm._FilterDatabase" localSheetId="1" hidden="1">'Clean Data'!$A$1:$K$294</definedName>
    <definedName name="Slicer_Application_Status">#N/A</definedName>
    <definedName name="Slicer_Department">#N/A</definedName>
    <definedName name="Slicer_Education_Level">#N/A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9" i="3" l="1"/>
  <c r="G20" i="3"/>
  <c r="G18" i="3"/>
  <c r="G17" i="3"/>
  <c r="F296" i="1"/>
  <c r="K160" i="1"/>
  <c r="K178" i="1"/>
  <c r="K20" i="1"/>
  <c r="K51" i="1"/>
  <c r="K240" i="1"/>
  <c r="K30" i="1"/>
  <c r="K170" i="1"/>
  <c r="K289" i="1"/>
  <c r="K103" i="1"/>
  <c r="K188" i="1"/>
  <c r="K96" i="1"/>
  <c r="K181" i="1"/>
  <c r="K291" i="1"/>
  <c r="K211" i="1"/>
  <c r="K248" i="1"/>
  <c r="K143" i="1"/>
  <c r="K120" i="1"/>
  <c r="K268" i="1"/>
  <c r="K31" i="1"/>
  <c r="K37" i="1"/>
  <c r="K25" i="1"/>
  <c r="K108" i="1"/>
  <c r="K59" i="1"/>
  <c r="K16" i="1"/>
  <c r="K18" i="1"/>
  <c r="K173" i="1"/>
  <c r="K252" i="1"/>
  <c r="K76" i="1"/>
  <c r="K212" i="1"/>
  <c r="K95" i="1"/>
  <c r="K175" i="1"/>
  <c r="K225" i="1"/>
  <c r="K156" i="1"/>
  <c r="K275" i="1"/>
  <c r="K62" i="1"/>
  <c r="K152" i="1"/>
  <c r="K132" i="1"/>
  <c r="K169" i="1"/>
  <c r="K53" i="1"/>
  <c r="K255" i="1"/>
  <c r="K159" i="1"/>
  <c r="K204" i="1"/>
  <c r="K85" i="1"/>
  <c r="K166" i="1"/>
  <c r="K19" i="1"/>
  <c r="K74" i="1"/>
  <c r="K176" i="1"/>
  <c r="K141" i="1"/>
  <c r="K86" i="1"/>
  <c r="K242" i="1"/>
  <c r="K222" i="1"/>
  <c r="K266" i="1"/>
  <c r="K165" i="1"/>
  <c r="K217" i="1"/>
  <c r="K7" i="1"/>
  <c r="K10" i="1"/>
  <c r="K68" i="1"/>
  <c r="K183" i="1"/>
  <c r="K43" i="1"/>
  <c r="K99" i="1"/>
  <c r="K164" i="1"/>
  <c r="K172" i="1"/>
  <c r="K125" i="1"/>
  <c r="K140" i="1"/>
  <c r="K29" i="1"/>
  <c r="K133" i="1"/>
  <c r="K50" i="1"/>
  <c r="K142" i="1"/>
  <c r="K216" i="1"/>
  <c r="K78" i="1"/>
  <c r="K158" i="1"/>
  <c r="K199" i="1"/>
  <c r="K177" i="1"/>
  <c r="K150" i="1"/>
  <c r="K2" i="1"/>
  <c r="K106" i="1"/>
  <c r="K263" i="1"/>
  <c r="K279" i="1"/>
  <c r="K147" i="1"/>
  <c r="K213" i="1"/>
  <c r="K256" i="1"/>
  <c r="K66" i="1"/>
  <c r="K273" i="1"/>
  <c r="K90" i="1"/>
  <c r="K100" i="1"/>
  <c r="K119" i="1"/>
  <c r="K17" i="1"/>
  <c r="K41" i="1"/>
  <c r="K15" i="1"/>
  <c r="K139" i="1"/>
  <c r="K13" i="1"/>
  <c r="K234" i="1"/>
  <c r="K107" i="1"/>
  <c r="K272" i="1"/>
  <c r="K60" i="1"/>
  <c r="K70" i="1"/>
  <c r="K218" i="1"/>
  <c r="K98" i="1"/>
  <c r="K57" i="1"/>
  <c r="K230" i="1"/>
  <c r="K187" i="1"/>
  <c r="K136" i="1"/>
  <c r="K34" i="1"/>
  <c r="K123" i="1"/>
  <c r="K162" i="1"/>
  <c r="K21" i="1"/>
  <c r="K110" i="1"/>
  <c r="K232" i="1"/>
  <c r="K131" i="1"/>
  <c r="K282" i="1"/>
  <c r="K191" i="1"/>
  <c r="K112" i="1"/>
  <c r="K274" i="1"/>
  <c r="K258" i="1"/>
  <c r="K64" i="1"/>
  <c r="K223" i="1"/>
  <c r="K81" i="1"/>
  <c r="K243" i="1"/>
  <c r="K97" i="1"/>
  <c r="K94" i="1"/>
  <c r="K145" i="1"/>
  <c r="K55" i="1"/>
  <c r="K244" i="1"/>
  <c r="K284" i="1"/>
  <c r="K206" i="1"/>
  <c r="K83" i="1"/>
  <c r="K65" i="1"/>
  <c r="K205" i="1"/>
  <c r="K194" i="1"/>
  <c r="K82" i="1"/>
  <c r="K276" i="1"/>
  <c r="K39" i="1"/>
  <c r="K163" i="1"/>
  <c r="K102" i="1"/>
  <c r="K87" i="1"/>
  <c r="K193" i="1"/>
  <c r="K167" i="1"/>
  <c r="K134" i="1"/>
  <c r="K293" i="1"/>
  <c r="K219" i="1"/>
  <c r="K47" i="1"/>
  <c r="K75" i="1"/>
  <c r="K231" i="1"/>
  <c r="K116" i="1"/>
  <c r="K35" i="1"/>
  <c r="K253" i="1"/>
  <c r="K151" i="1"/>
  <c r="K128" i="1"/>
  <c r="K121" i="1"/>
  <c r="K91" i="1"/>
  <c r="K28" i="1"/>
  <c r="K201" i="1"/>
  <c r="K5" i="1"/>
  <c r="K88" i="1"/>
  <c r="K257" i="1"/>
  <c r="K161" i="1"/>
  <c r="K113" i="1"/>
  <c r="K287" i="1"/>
  <c r="K44" i="1"/>
  <c r="K224" i="1"/>
  <c r="K249" i="1"/>
  <c r="K27" i="1"/>
  <c r="K127" i="1"/>
  <c r="K14" i="1"/>
  <c r="K124" i="1"/>
  <c r="K270" i="1"/>
  <c r="K23" i="1"/>
  <c r="K245" i="1"/>
  <c r="K38" i="1"/>
  <c r="K104" i="1"/>
  <c r="K6" i="1"/>
  <c r="K114" i="1"/>
  <c r="K286" i="1"/>
  <c r="K281" i="1"/>
  <c r="K294" i="1"/>
  <c r="K208" i="1"/>
  <c r="K288" i="1"/>
  <c r="K36" i="1"/>
  <c r="K203" i="1"/>
  <c r="K129" i="1"/>
  <c r="K250" i="1"/>
  <c r="K56" i="1"/>
  <c r="K46" i="1"/>
  <c r="K146" i="1"/>
  <c r="K122" i="1"/>
  <c r="K92" i="1"/>
  <c r="K227" i="1"/>
  <c r="K190" i="1"/>
  <c r="K101" i="1"/>
  <c r="K261" i="1"/>
  <c r="K192" i="1"/>
  <c r="K259" i="1"/>
  <c r="K49" i="1"/>
  <c r="K214" i="1"/>
  <c r="K207" i="1"/>
  <c r="K200" i="1"/>
  <c r="K69" i="1"/>
  <c r="K239" i="1"/>
  <c r="K179" i="1"/>
  <c r="K185" i="1"/>
  <c r="K67" i="1"/>
  <c r="K233" i="1"/>
  <c r="K73" i="1"/>
  <c r="K221" i="1"/>
  <c r="K215" i="1"/>
  <c r="K155" i="1"/>
  <c r="K11" i="1"/>
  <c r="K24" i="1"/>
  <c r="K262" i="1"/>
  <c r="K63" i="1"/>
  <c r="K42" i="1"/>
  <c r="K89" i="1"/>
  <c r="K186" i="1"/>
  <c r="K79" i="1"/>
  <c r="K196" i="1"/>
  <c r="K130" i="1"/>
  <c r="K226" i="1"/>
  <c r="K197" i="1"/>
  <c r="K210" i="1"/>
  <c r="K254" i="1"/>
  <c r="K8" i="1"/>
  <c r="K157" i="1"/>
  <c r="K264" i="1"/>
  <c r="K105" i="1"/>
  <c r="K247" i="1"/>
  <c r="K290" i="1"/>
  <c r="K45" i="1"/>
  <c r="K26" i="1"/>
  <c r="K235" i="1"/>
  <c r="K168" i="1"/>
  <c r="K171" i="1"/>
  <c r="K61" i="1"/>
  <c r="K118" i="1"/>
  <c r="K52" i="1"/>
  <c r="K32" i="1"/>
  <c r="K93" i="1"/>
  <c r="K48" i="1"/>
  <c r="K80" i="1"/>
  <c r="K269" i="1"/>
  <c r="K135" i="1"/>
  <c r="K148" i="1"/>
  <c r="K12" i="1"/>
  <c r="K246" i="1"/>
  <c r="K209" i="1"/>
  <c r="K77" i="1"/>
  <c r="K180" i="1"/>
  <c r="K138" i="1"/>
  <c r="K283" i="1"/>
  <c r="K40" i="1"/>
  <c r="K3" i="1"/>
  <c r="K202" i="1"/>
  <c r="K126" i="1"/>
  <c r="K237" i="1"/>
  <c r="K174" i="1"/>
  <c r="K220" i="1"/>
  <c r="K154" i="1"/>
  <c r="K285" i="1"/>
  <c r="K117" i="1"/>
  <c r="K22" i="1"/>
  <c r="K229" i="1"/>
  <c r="K260" i="1"/>
  <c r="K182" i="1"/>
  <c r="K236" i="1"/>
  <c r="K153" i="1"/>
  <c r="K33" i="1"/>
  <c r="K292" i="1"/>
  <c r="K54" i="1"/>
  <c r="K277" i="1"/>
  <c r="K238" i="1"/>
  <c r="K271" i="1"/>
  <c r="K4" i="1"/>
  <c r="K195" i="1"/>
  <c r="K189" i="1"/>
  <c r="K280" i="1"/>
  <c r="K265" i="1"/>
  <c r="K278" i="1"/>
  <c r="K198" i="1"/>
  <c r="K58" i="1"/>
  <c r="K72" i="1"/>
  <c r="K267" i="1"/>
  <c r="K71" i="1"/>
  <c r="K228" i="1"/>
  <c r="K184" i="1"/>
  <c r="K251" i="1"/>
  <c r="K115" i="1"/>
  <c r="K137" i="1"/>
  <c r="K84" i="1"/>
  <c r="K109" i="1"/>
  <c r="K9" i="1"/>
  <c r="K241" i="1"/>
  <c r="K144" i="1"/>
  <c r="K149" i="1"/>
  <c r="K111" i="1"/>
  <c r="J160" i="1"/>
  <c r="J178" i="1"/>
  <c r="J20" i="1"/>
  <c r="J51" i="1"/>
  <c r="J240" i="1"/>
  <c r="J30" i="1"/>
  <c r="J170" i="1"/>
  <c r="J289" i="1"/>
  <c r="J103" i="1"/>
  <c r="J188" i="1"/>
  <c r="J96" i="1"/>
  <c r="J181" i="1"/>
  <c r="J291" i="1"/>
  <c r="J211" i="1"/>
  <c r="J248" i="1"/>
  <c r="J143" i="1"/>
  <c r="J120" i="1"/>
  <c r="J268" i="1"/>
  <c r="J31" i="1"/>
  <c r="J37" i="1"/>
  <c r="J25" i="1"/>
  <c r="J108" i="1"/>
  <c r="J59" i="1"/>
  <c r="J16" i="1"/>
  <c r="J18" i="1"/>
  <c r="J173" i="1"/>
  <c r="J252" i="1"/>
  <c r="J76" i="1"/>
  <c r="J212" i="1"/>
  <c r="J95" i="1"/>
  <c r="J175" i="1"/>
  <c r="J225" i="1"/>
  <c r="J156" i="1"/>
  <c r="J275" i="1"/>
  <c r="J62" i="1"/>
  <c r="J152" i="1"/>
  <c r="J132" i="1"/>
  <c r="J169" i="1"/>
  <c r="J53" i="1"/>
  <c r="J255" i="1"/>
  <c r="J159" i="1"/>
  <c r="J204" i="1"/>
  <c r="J85" i="1"/>
  <c r="J166" i="1"/>
  <c r="J19" i="1"/>
  <c r="J74" i="1"/>
  <c r="J176" i="1"/>
  <c r="J141" i="1"/>
  <c r="J86" i="1"/>
  <c r="J242" i="1"/>
  <c r="J222" i="1"/>
  <c r="J266" i="1"/>
  <c r="J165" i="1"/>
  <c r="J217" i="1"/>
  <c r="J7" i="1"/>
  <c r="J10" i="1"/>
  <c r="J68" i="1"/>
  <c r="J183" i="1"/>
  <c r="J43" i="1"/>
  <c r="J99" i="1"/>
  <c r="J164" i="1"/>
  <c r="J172" i="1"/>
  <c r="J125" i="1"/>
  <c r="J140" i="1"/>
  <c r="J29" i="1"/>
  <c r="J133" i="1"/>
  <c r="J50" i="1"/>
  <c r="J142" i="1"/>
  <c r="J216" i="1"/>
  <c r="J78" i="1"/>
  <c r="J158" i="1"/>
  <c r="J199" i="1"/>
  <c r="J177" i="1"/>
  <c r="J150" i="1"/>
  <c r="J2" i="1"/>
  <c r="J106" i="1"/>
  <c r="J263" i="1"/>
  <c r="J279" i="1"/>
  <c r="J147" i="1"/>
  <c r="J213" i="1"/>
  <c r="J256" i="1"/>
  <c r="J66" i="1"/>
  <c r="J273" i="1"/>
  <c r="J90" i="1"/>
  <c r="J100" i="1"/>
  <c r="J119" i="1"/>
  <c r="J17" i="1"/>
  <c r="J41" i="1"/>
  <c r="J15" i="1"/>
  <c r="J139" i="1"/>
  <c r="J13" i="1"/>
  <c r="J234" i="1"/>
  <c r="J107" i="1"/>
  <c r="J272" i="1"/>
  <c r="J60" i="1"/>
  <c r="J70" i="1"/>
  <c r="J218" i="1"/>
  <c r="J98" i="1"/>
  <c r="J57" i="1"/>
  <c r="J230" i="1"/>
  <c r="J187" i="1"/>
  <c r="J136" i="1"/>
  <c r="J34" i="1"/>
  <c r="J123" i="1"/>
  <c r="J162" i="1"/>
  <c r="J21" i="1"/>
  <c r="J110" i="1"/>
  <c r="J232" i="1"/>
  <c r="J131" i="1"/>
  <c r="J282" i="1"/>
  <c r="J191" i="1"/>
  <c r="J112" i="1"/>
  <c r="J274" i="1"/>
  <c r="J258" i="1"/>
  <c r="J64" i="1"/>
  <c r="J223" i="1"/>
  <c r="J81" i="1"/>
  <c r="J243" i="1"/>
  <c r="J97" i="1"/>
  <c r="J94" i="1"/>
  <c r="J145" i="1"/>
  <c r="J55" i="1"/>
  <c r="J244" i="1"/>
  <c r="J284" i="1"/>
  <c r="J206" i="1"/>
  <c r="J83" i="1"/>
  <c r="J65" i="1"/>
  <c r="J205" i="1"/>
  <c r="J194" i="1"/>
  <c r="J82" i="1"/>
  <c r="J276" i="1"/>
  <c r="J39" i="1"/>
  <c r="J163" i="1"/>
  <c r="J102" i="1"/>
  <c r="J87" i="1"/>
  <c r="J193" i="1"/>
  <c r="J167" i="1"/>
  <c r="J134" i="1"/>
  <c r="J293" i="1"/>
  <c r="J219" i="1"/>
  <c r="J47" i="1"/>
  <c r="J75" i="1"/>
  <c r="J231" i="1"/>
  <c r="J116" i="1"/>
  <c r="J35" i="1"/>
  <c r="J253" i="1"/>
  <c r="J151" i="1"/>
  <c r="J128" i="1"/>
  <c r="J121" i="1"/>
  <c r="J91" i="1"/>
  <c r="J28" i="1"/>
  <c r="J201" i="1"/>
  <c r="J5" i="1"/>
  <c r="J88" i="1"/>
  <c r="J257" i="1"/>
  <c r="J161" i="1"/>
  <c r="J113" i="1"/>
  <c r="J287" i="1"/>
  <c r="J44" i="1"/>
  <c r="J224" i="1"/>
  <c r="J249" i="1"/>
  <c r="J27" i="1"/>
  <c r="J127" i="1"/>
  <c r="J14" i="1"/>
  <c r="J124" i="1"/>
  <c r="J270" i="1"/>
  <c r="J23" i="1"/>
  <c r="J245" i="1"/>
  <c r="J38" i="1"/>
  <c r="J104" i="1"/>
  <c r="J6" i="1"/>
  <c r="J114" i="1"/>
  <c r="J286" i="1"/>
  <c r="J281" i="1"/>
  <c r="J294" i="1"/>
  <c r="J208" i="1"/>
  <c r="J288" i="1"/>
  <c r="J36" i="1"/>
  <c r="J203" i="1"/>
  <c r="J129" i="1"/>
  <c r="J250" i="1"/>
  <c r="J56" i="1"/>
  <c r="J46" i="1"/>
  <c r="J146" i="1"/>
  <c r="J122" i="1"/>
  <c r="J92" i="1"/>
  <c r="J227" i="1"/>
  <c r="J190" i="1"/>
  <c r="J101" i="1"/>
  <c r="J261" i="1"/>
  <c r="J192" i="1"/>
  <c r="J259" i="1"/>
  <c r="J49" i="1"/>
  <c r="J214" i="1"/>
  <c r="J207" i="1"/>
  <c r="J200" i="1"/>
  <c r="J69" i="1"/>
  <c r="J239" i="1"/>
  <c r="J179" i="1"/>
  <c r="J185" i="1"/>
  <c r="J67" i="1"/>
  <c r="J233" i="1"/>
  <c r="J73" i="1"/>
  <c r="J221" i="1"/>
  <c r="J215" i="1"/>
  <c r="J155" i="1"/>
  <c r="J11" i="1"/>
  <c r="J24" i="1"/>
  <c r="J262" i="1"/>
  <c r="J63" i="1"/>
  <c r="J42" i="1"/>
  <c r="J89" i="1"/>
  <c r="J186" i="1"/>
  <c r="J79" i="1"/>
  <c r="J196" i="1"/>
  <c r="J130" i="1"/>
  <c r="J226" i="1"/>
  <c r="J197" i="1"/>
  <c r="J210" i="1"/>
  <c r="J254" i="1"/>
  <c r="J8" i="1"/>
  <c r="J157" i="1"/>
  <c r="J264" i="1"/>
  <c r="J105" i="1"/>
  <c r="J247" i="1"/>
  <c r="J290" i="1"/>
  <c r="J45" i="1"/>
  <c r="J26" i="1"/>
  <c r="J235" i="1"/>
  <c r="J168" i="1"/>
  <c r="J171" i="1"/>
  <c r="J61" i="1"/>
  <c r="J118" i="1"/>
  <c r="J52" i="1"/>
  <c r="J32" i="1"/>
  <c r="J93" i="1"/>
  <c r="J48" i="1"/>
  <c r="J80" i="1"/>
  <c r="J269" i="1"/>
  <c r="J135" i="1"/>
  <c r="J148" i="1"/>
  <c r="J12" i="1"/>
  <c r="J246" i="1"/>
  <c r="J209" i="1"/>
  <c r="J77" i="1"/>
  <c r="J180" i="1"/>
  <c r="J138" i="1"/>
  <c r="J283" i="1"/>
  <c r="J40" i="1"/>
  <c r="J3" i="1"/>
  <c r="J202" i="1"/>
  <c r="J126" i="1"/>
  <c r="J237" i="1"/>
  <c r="J174" i="1"/>
  <c r="J220" i="1"/>
  <c r="J154" i="1"/>
  <c r="J285" i="1"/>
  <c r="J117" i="1"/>
  <c r="J22" i="1"/>
  <c r="J229" i="1"/>
  <c r="J260" i="1"/>
  <c r="J182" i="1"/>
  <c r="J236" i="1"/>
  <c r="J153" i="1"/>
  <c r="J33" i="1"/>
  <c r="J292" i="1"/>
  <c r="J54" i="1"/>
  <c r="J277" i="1"/>
  <c r="J238" i="1"/>
  <c r="J271" i="1"/>
  <c r="J4" i="1"/>
  <c r="J195" i="1"/>
  <c r="J189" i="1"/>
  <c r="J280" i="1"/>
  <c r="J265" i="1"/>
  <c r="J278" i="1"/>
  <c r="J198" i="1"/>
  <c r="J58" i="1"/>
  <c r="J72" i="1"/>
  <c r="J267" i="1"/>
  <c r="J71" i="1"/>
  <c r="J228" i="1"/>
  <c r="J184" i="1"/>
  <c r="J251" i="1"/>
  <c r="J115" i="1"/>
  <c r="J137" i="1"/>
  <c r="J84" i="1"/>
  <c r="J109" i="1"/>
  <c r="J9" i="1"/>
  <c r="J241" i="1"/>
  <c r="J144" i="1"/>
  <c r="J149" i="1"/>
  <c r="J111" i="1"/>
  <c r="I160" i="1"/>
  <c r="I178" i="1"/>
  <c r="I20" i="1"/>
  <c r="I51" i="1"/>
  <c r="I240" i="1"/>
  <c r="I30" i="1"/>
  <c r="I170" i="1"/>
  <c r="I289" i="1"/>
  <c r="I103" i="1"/>
  <c r="I188" i="1"/>
  <c r="I96" i="1"/>
  <c r="I181" i="1"/>
  <c r="I291" i="1"/>
  <c r="I211" i="1"/>
  <c r="I248" i="1"/>
  <c r="I143" i="1"/>
  <c r="I120" i="1"/>
  <c r="I268" i="1"/>
  <c r="I31" i="1"/>
  <c r="I37" i="1"/>
  <c r="I25" i="1"/>
  <c r="I108" i="1"/>
  <c r="I59" i="1"/>
  <c r="I16" i="1"/>
  <c r="I18" i="1"/>
  <c r="I173" i="1"/>
  <c r="I252" i="1"/>
  <c r="I76" i="1"/>
  <c r="I212" i="1"/>
  <c r="I95" i="1"/>
  <c r="I175" i="1"/>
  <c r="I225" i="1"/>
  <c r="I156" i="1"/>
  <c r="I275" i="1"/>
  <c r="I62" i="1"/>
  <c r="I152" i="1"/>
  <c r="I132" i="1"/>
  <c r="I169" i="1"/>
  <c r="I53" i="1"/>
  <c r="I255" i="1"/>
  <c r="I159" i="1"/>
  <c r="I204" i="1"/>
  <c r="I85" i="1"/>
  <c r="I166" i="1"/>
  <c r="I19" i="1"/>
  <c r="I74" i="1"/>
  <c r="I176" i="1"/>
  <c r="I141" i="1"/>
  <c r="I86" i="1"/>
  <c r="I242" i="1"/>
  <c r="I222" i="1"/>
  <c r="I266" i="1"/>
  <c r="I165" i="1"/>
  <c r="I217" i="1"/>
  <c r="I7" i="1"/>
  <c r="I10" i="1"/>
  <c r="I68" i="1"/>
  <c r="I183" i="1"/>
  <c r="I43" i="1"/>
  <c r="I99" i="1"/>
  <c r="I164" i="1"/>
  <c r="I172" i="1"/>
  <c r="I125" i="1"/>
  <c r="I140" i="1"/>
  <c r="I29" i="1"/>
  <c r="I133" i="1"/>
  <c r="I50" i="1"/>
  <c r="I142" i="1"/>
  <c r="I216" i="1"/>
  <c r="I78" i="1"/>
  <c r="I158" i="1"/>
  <c r="I199" i="1"/>
  <c r="I177" i="1"/>
  <c r="I150" i="1"/>
  <c r="I2" i="1"/>
  <c r="I106" i="1"/>
  <c r="I263" i="1"/>
  <c r="I279" i="1"/>
  <c r="I147" i="1"/>
  <c r="I213" i="1"/>
  <c r="I256" i="1"/>
  <c r="I66" i="1"/>
  <c r="I273" i="1"/>
  <c r="I90" i="1"/>
  <c r="I100" i="1"/>
  <c r="I119" i="1"/>
  <c r="I17" i="1"/>
  <c r="I41" i="1"/>
  <c r="I15" i="1"/>
  <c r="I139" i="1"/>
  <c r="I13" i="1"/>
  <c r="I234" i="1"/>
  <c r="I107" i="1"/>
  <c r="I272" i="1"/>
  <c r="I60" i="1"/>
  <c r="I70" i="1"/>
  <c r="I218" i="1"/>
  <c r="I98" i="1"/>
  <c r="I57" i="1"/>
  <c r="I230" i="1"/>
  <c r="I187" i="1"/>
  <c r="I136" i="1"/>
  <c r="I34" i="1"/>
  <c r="I123" i="1"/>
  <c r="I162" i="1"/>
  <c r="I21" i="1"/>
  <c r="I110" i="1"/>
  <c r="I232" i="1"/>
  <c r="I131" i="1"/>
  <c r="I282" i="1"/>
  <c r="I191" i="1"/>
  <c r="I112" i="1"/>
  <c r="I274" i="1"/>
  <c r="I258" i="1"/>
  <c r="I64" i="1"/>
  <c r="I223" i="1"/>
  <c r="I81" i="1"/>
  <c r="I243" i="1"/>
  <c r="I97" i="1"/>
  <c r="I94" i="1"/>
  <c r="I145" i="1"/>
  <c r="I55" i="1"/>
  <c r="I244" i="1"/>
  <c r="I284" i="1"/>
  <c r="I206" i="1"/>
  <c r="I83" i="1"/>
  <c r="I65" i="1"/>
  <c r="I205" i="1"/>
  <c r="I194" i="1"/>
  <c r="I82" i="1"/>
  <c r="I276" i="1"/>
  <c r="I39" i="1"/>
  <c r="I163" i="1"/>
  <c r="I102" i="1"/>
  <c r="I87" i="1"/>
  <c r="I193" i="1"/>
  <c r="I167" i="1"/>
  <c r="I134" i="1"/>
  <c r="I293" i="1"/>
  <c r="I219" i="1"/>
  <c r="I47" i="1"/>
  <c r="I75" i="1"/>
  <c r="I231" i="1"/>
  <c r="I116" i="1"/>
  <c r="I35" i="1"/>
  <c r="I253" i="1"/>
  <c r="I151" i="1"/>
  <c r="I128" i="1"/>
  <c r="I121" i="1"/>
  <c r="I91" i="1"/>
  <c r="I28" i="1"/>
  <c r="I201" i="1"/>
  <c r="I5" i="1"/>
  <c r="I88" i="1"/>
  <c r="I257" i="1"/>
  <c r="I161" i="1"/>
  <c r="I113" i="1"/>
  <c r="I287" i="1"/>
  <c r="I44" i="1"/>
  <c r="I224" i="1"/>
  <c r="I249" i="1"/>
  <c r="I27" i="1"/>
  <c r="I127" i="1"/>
  <c r="I14" i="1"/>
  <c r="I124" i="1"/>
  <c r="I270" i="1"/>
  <c r="I23" i="1"/>
  <c r="I245" i="1"/>
  <c r="I38" i="1"/>
  <c r="I104" i="1"/>
  <c r="I6" i="1"/>
  <c r="I114" i="1"/>
  <c r="I286" i="1"/>
  <c r="I281" i="1"/>
  <c r="I294" i="1"/>
  <c r="I208" i="1"/>
  <c r="I288" i="1"/>
  <c r="I36" i="1"/>
  <c r="I203" i="1"/>
  <c r="I129" i="1"/>
  <c r="I250" i="1"/>
  <c r="I56" i="1"/>
  <c r="I46" i="1"/>
  <c r="I146" i="1"/>
  <c r="I122" i="1"/>
  <c r="I92" i="1"/>
  <c r="I227" i="1"/>
  <c r="I190" i="1"/>
  <c r="I101" i="1"/>
  <c r="I261" i="1"/>
  <c r="I192" i="1"/>
  <c r="I259" i="1"/>
  <c r="I49" i="1"/>
  <c r="I214" i="1"/>
  <c r="I207" i="1"/>
  <c r="I200" i="1"/>
  <c r="I69" i="1"/>
  <c r="I239" i="1"/>
  <c r="I179" i="1"/>
  <c r="I185" i="1"/>
  <c r="I67" i="1"/>
  <c r="I233" i="1"/>
  <c r="I73" i="1"/>
  <c r="I221" i="1"/>
  <c r="I215" i="1"/>
  <c r="I155" i="1"/>
  <c r="I11" i="1"/>
  <c r="I24" i="1"/>
  <c r="I262" i="1"/>
  <c r="I63" i="1"/>
  <c r="I42" i="1"/>
  <c r="I89" i="1"/>
  <c r="I186" i="1"/>
  <c r="I79" i="1"/>
  <c r="I196" i="1"/>
  <c r="I130" i="1"/>
  <c r="I226" i="1"/>
  <c r="I197" i="1"/>
  <c r="I210" i="1"/>
  <c r="I254" i="1"/>
  <c r="I8" i="1"/>
  <c r="I157" i="1"/>
  <c r="I264" i="1"/>
  <c r="I105" i="1"/>
  <c r="I247" i="1"/>
  <c r="I290" i="1"/>
  <c r="I45" i="1"/>
  <c r="I26" i="1"/>
  <c r="I235" i="1"/>
  <c r="I168" i="1"/>
  <c r="I171" i="1"/>
  <c r="I61" i="1"/>
  <c r="I118" i="1"/>
  <c r="I52" i="1"/>
  <c r="I32" i="1"/>
  <c r="I93" i="1"/>
  <c r="I48" i="1"/>
  <c r="I80" i="1"/>
  <c r="I269" i="1"/>
  <c r="I135" i="1"/>
  <c r="I148" i="1"/>
  <c r="I12" i="1"/>
  <c r="I246" i="1"/>
  <c r="I209" i="1"/>
  <c r="I77" i="1"/>
  <c r="I180" i="1"/>
  <c r="I138" i="1"/>
  <c r="I283" i="1"/>
  <c r="I40" i="1"/>
  <c r="I3" i="1"/>
  <c r="I202" i="1"/>
  <c r="I126" i="1"/>
  <c r="I237" i="1"/>
  <c r="I174" i="1"/>
  <c r="I220" i="1"/>
  <c r="I154" i="1"/>
  <c r="I285" i="1"/>
  <c r="I117" i="1"/>
  <c r="I22" i="1"/>
  <c r="I229" i="1"/>
  <c r="I260" i="1"/>
  <c r="I182" i="1"/>
  <c r="I236" i="1"/>
  <c r="I153" i="1"/>
  <c r="I33" i="1"/>
  <c r="I292" i="1"/>
  <c r="I54" i="1"/>
  <c r="I277" i="1"/>
  <c r="I238" i="1"/>
  <c r="I271" i="1"/>
  <c r="I4" i="1"/>
  <c r="I195" i="1"/>
  <c r="I189" i="1"/>
  <c r="I280" i="1"/>
  <c r="I265" i="1"/>
  <c r="I278" i="1"/>
  <c r="I198" i="1"/>
  <c r="I58" i="1"/>
  <c r="I72" i="1"/>
  <c r="I267" i="1"/>
  <c r="I71" i="1"/>
  <c r="I228" i="1"/>
  <c r="I184" i="1"/>
  <c r="I251" i="1"/>
  <c r="I115" i="1"/>
  <c r="I137" i="1"/>
  <c r="I84" i="1"/>
  <c r="I109" i="1"/>
  <c r="I9" i="1"/>
  <c r="I241" i="1"/>
  <c r="I144" i="1"/>
  <c r="I149" i="1"/>
  <c r="I111" i="1"/>
  <c r="H95" i="1"/>
  <c r="H175" i="1"/>
  <c r="H225" i="1"/>
  <c r="H156" i="1"/>
  <c r="H275" i="1"/>
  <c r="H62" i="1"/>
  <c r="H152" i="1"/>
  <c r="H132" i="1"/>
  <c r="H169" i="1"/>
  <c r="H53" i="1"/>
  <c r="H255" i="1"/>
  <c r="H159" i="1"/>
  <c r="H204" i="1"/>
  <c r="H85" i="1"/>
  <c r="H166" i="1"/>
  <c r="H19" i="1"/>
  <c r="H74" i="1"/>
  <c r="H176" i="1"/>
  <c r="H141" i="1"/>
  <c r="H86" i="1"/>
  <c r="H242" i="1"/>
  <c r="H222" i="1"/>
  <c r="H266" i="1"/>
  <c r="H165" i="1"/>
  <c r="H217" i="1"/>
  <c r="H7" i="1"/>
  <c r="H10" i="1"/>
  <c r="H68" i="1"/>
  <c r="H183" i="1"/>
  <c r="H43" i="1"/>
  <c r="H99" i="1"/>
  <c r="H164" i="1"/>
  <c r="H172" i="1"/>
  <c r="H125" i="1"/>
  <c r="H140" i="1"/>
  <c r="H29" i="1"/>
  <c r="H133" i="1"/>
  <c r="H50" i="1"/>
  <c r="H142" i="1"/>
  <c r="H216" i="1"/>
  <c r="H78" i="1"/>
  <c r="H158" i="1"/>
  <c r="H199" i="1"/>
  <c r="H177" i="1"/>
  <c r="H150" i="1"/>
  <c r="H2" i="1"/>
  <c r="H106" i="1"/>
  <c r="H263" i="1"/>
  <c r="H279" i="1"/>
  <c r="H147" i="1"/>
  <c r="H213" i="1"/>
  <c r="H256" i="1"/>
  <c r="H66" i="1"/>
  <c r="H273" i="1"/>
  <c r="H90" i="1"/>
  <c r="H100" i="1"/>
  <c r="H119" i="1"/>
  <c r="H17" i="1"/>
  <c r="H41" i="1"/>
  <c r="H15" i="1"/>
  <c r="H139" i="1"/>
  <c r="H13" i="1"/>
  <c r="H234" i="1"/>
  <c r="H107" i="1"/>
  <c r="H272" i="1"/>
  <c r="H60" i="1"/>
  <c r="H70" i="1"/>
  <c r="H218" i="1"/>
  <c r="H98" i="1"/>
  <c r="H57" i="1"/>
  <c r="H230" i="1"/>
  <c r="H187" i="1"/>
  <c r="H136" i="1"/>
  <c r="H34" i="1"/>
  <c r="H123" i="1"/>
  <c r="H162" i="1"/>
  <c r="H21" i="1"/>
  <c r="H110" i="1"/>
  <c r="H232" i="1"/>
  <c r="H131" i="1"/>
  <c r="H282" i="1"/>
  <c r="H191" i="1"/>
  <c r="H112" i="1"/>
  <c r="H274" i="1"/>
  <c r="H258" i="1"/>
  <c r="H64" i="1"/>
  <c r="H223" i="1"/>
  <c r="H81" i="1"/>
  <c r="H243" i="1"/>
  <c r="H97" i="1"/>
  <c r="H94" i="1"/>
  <c r="H145" i="1"/>
  <c r="H55" i="1"/>
  <c r="H244" i="1"/>
  <c r="H284" i="1"/>
  <c r="H206" i="1"/>
  <c r="H83" i="1"/>
  <c r="H65" i="1"/>
  <c r="H205" i="1"/>
  <c r="H194" i="1"/>
  <c r="H82" i="1"/>
  <c r="H276" i="1"/>
  <c r="H39" i="1"/>
  <c r="H163" i="1"/>
  <c r="H102" i="1"/>
  <c r="H87" i="1"/>
  <c r="H193" i="1"/>
  <c r="H167" i="1"/>
  <c r="H134" i="1"/>
  <c r="H293" i="1"/>
  <c r="H219" i="1"/>
  <c r="H47" i="1"/>
  <c r="H75" i="1"/>
  <c r="H231" i="1"/>
  <c r="H116" i="1"/>
  <c r="H35" i="1"/>
  <c r="H253" i="1"/>
  <c r="H151" i="1"/>
  <c r="H128" i="1"/>
  <c r="H121" i="1"/>
  <c r="H91" i="1"/>
  <c r="H28" i="1"/>
  <c r="H201" i="1"/>
  <c r="H5" i="1"/>
  <c r="H88" i="1"/>
  <c r="H257" i="1"/>
  <c r="H161" i="1"/>
  <c r="H113" i="1"/>
  <c r="H287" i="1"/>
  <c r="H44" i="1"/>
  <c r="H224" i="1"/>
  <c r="H249" i="1"/>
  <c r="H27" i="1"/>
  <c r="H127" i="1"/>
  <c r="H14" i="1"/>
  <c r="H124" i="1"/>
  <c r="H270" i="1"/>
  <c r="H23" i="1"/>
  <c r="H245" i="1"/>
  <c r="H38" i="1"/>
  <c r="H104" i="1"/>
  <c r="H6" i="1"/>
  <c r="H114" i="1"/>
  <c r="H286" i="1"/>
  <c r="H281" i="1"/>
  <c r="H294" i="1"/>
  <c r="H208" i="1"/>
  <c r="H288" i="1"/>
  <c r="H36" i="1"/>
  <c r="H203" i="1"/>
  <c r="H129" i="1"/>
  <c r="H250" i="1"/>
  <c r="H56" i="1"/>
  <c r="H46" i="1"/>
  <c r="H146" i="1"/>
  <c r="H122" i="1"/>
  <c r="H92" i="1"/>
  <c r="H227" i="1"/>
  <c r="H190" i="1"/>
  <c r="H101" i="1"/>
  <c r="H261" i="1"/>
  <c r="H192" i="1"/>
  <c r="H259" i="1"/>
  <c r="H49" i="1"/>
  <c r="H214" i="1"/>
  <c r="H207" i="1"/>
  <c r="H200" i="1"/>
  <c r="H69" i="1"/>
  <c r="H239" i="1"/>
  <c r="H179" i="1"/>
  <c r="H185" i="1"/>
  <c r="H67" i="1"/>
  <c r="H233" i="1"/>
  <c r="H73" i="1"/>
  <c r="H221" i="1"/>
  <c r="H215" i="1"/>
  <c r="H155" i="1"/>
  <c r="H11" i="1"/>
  <c r="H24" i="1"/>
  <c r="H262" i="1"/>
  <c r="H63" i="1"/>
  <c r="H42" i="1"/>
  <c r="H89" i="1"/>
  <c r="H186" i="1"/>
  <c r="H79" i="1"/>
  <c r="H196" i="1"/>
  <c r="H130" i="1"/>
  <c r="H226" i="1"/>
  <c r="H197" i="1"/>
  <c r="H210" i="1"/>
  <c r="H254" i="1"/>
  <c r="H8" i="1"/>
  <c r="H157" i="1"/>
  <c r="H264" i="1"/>
  <c r="H105" i="1"/>
  <c r="H247" i="1"/>
  <c r="H290" i="1"/>
  <c r="H45" i="1"/>
  <c r="H26" i="1"/>
  <c r="H235" i="1"/>
  <c r="H168" i="1"/>
  <c r="H171" i="1"/>
  <c r="H61" i="1"/>
  <c r="H118" i="1"/>
  <c r="H52" i="1"/>
  <c r="H32" i="1"/>
  <c r="H93" i="1"/>
  <c r="H48" i="1"/>
  <c r="H80" i="1"/>
  <c r="H269" i="1"/>
  <c r="H135" i="1"/>
  <c r="H148" i="1"/>
  <c r="H12" i="1"/>
  <c r="H246" i="1"/>
  <c r="H209" i="1"/>
  <c r="H77" i="1"/>
  <c r="H180" i="1"/>
  <c r="H138" i="1"/>
  <c r="H283" i="1"/>
  <c r="H40" i="1"/>
  <c r="H3" i="1"/>
  <c r="H202" i="1"/>
  <c r="H126" i="1"/>
  <c r="H237" i="1"/>
  <c r="H174" i="1"/>
  <c r="H220" i="1"/>
  <c r="H154" i="1"/>
  <c r="H285" i="1"/>
  <c r="H117" i="1"/>
  <c r="H22" i="1"/>
  <c r="H229" i="1"/>
  <c r="H260" i="1"/>
  <c r="H182" i="1"/>
  <c r="H236" i="1"/>
  <c r="H153" i="1"/>
  <c r="H33" i="1"/>
  <c r="H292" i="1"/>
  <c r="H54" i="1"/>
  <c r="H277" i="1"/>
  <c r="H238" i="1"/>
  <c r="H271" i="1"/>
  <c r="H4" i="1"/>
  <c r="H195" i="1"/>
  <c r="H189" i="1"/>
  <c r="H280" i="1"/>
  <c r="H265" i="1"/>
  <c r="H278" i="1"/>
  <c r="H198" i="1"/>
  <c r="H58" i="1"/>
  <c r="H72" i="1"/>
  <c r="H267" i="1"/>
  <c r="H71" i="1"/>
  <c r="H228" i="1"/>
  <c r="H184" i="1"/>
  <c r="H251" i="1"/>
  <c r="H115" i="1"/>
  <c r="H137" i="1"/>
  <c r="H84" i="1"/>
  <c r="H109" i="1"/>
  <c r="H9" i="1"/>
  <c r="H241" i="1"/>
  <c r="H144" i="1"/>
  <c r="H149" i="1"/>
  <c r="H291" i="1"/>
  <c r="H211" i="1"/>
  <c r="H248" i="1"/>
  <c r="H143" i="1"/>
  <c r="H120" i="1"/>
  <c r="H268" i="1"/>
  <c r="H31" i="1"/>
  <c r="H37" i="1"/>
  <c r="H25" i="1"/>
  <c r="H108" i="1"/>
  <c r="H59" i="1"/>
  <c r="H16" i="1"/>
  <c r="H18" i="1"/>
  <c r="H173" i="1"/>
  <c r="H252" i="1"/>
  <c r="H76" i="1"/>
  <c r="H212" i="1"/>
  <c r="H160" i="1"/>
  <c r="H178" i="1"/>
  <c r="H20" i="1"/>
  <c r="H51" i="1"/>
  <c r="H240" i="1"/>
  <c r="H30" i="1"/>
  <c r="H170" i="1"/>
  <c r="H289" i="1"/>
  <c r="H103" i="1"/>
  <c r="H188" i="1"/>
  <c r="H96" i="1"/>
  <c r="H181" i="1"/>
  <c r="H111" i="1"/>
  <c r="L178" i="1"/>
  <c r="G13" i="3"/>
  <c r="G12" i="3"/>
  <c r="G11" i="3"/>
  <c r="G10" i="3"/>
  <c r="G6" i="3"/>
  <c r="G5" i="3"/>
  <c r="G4" i="3"/>
  <c r="G3" i="3"/>
  <c r="G2"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C296" i="3"/>
  <c r="A4" i="3"/>
  <c r="B4" i="3" s="1"/>
  <c r="C4" i="3" s="1"/>
  <c r="A5" i="3"/>
  <c r="B5" i="3" s="1"/>
  <c r="C5" i="3" s="1"/>
  <c r="A6" i="3"/>
  <c r="B6" i="3" s="1"/>
  <c r="C6" i="3" s="1"/>
  <c r="A7" i="3"/>
  <c r="B7" i="3" s="1"/>
  <c r="C7" i="3" s="1"/>
  <c r="A8" i="3"/>
  <c r="B8" i="3" s="1"/>
  <c r="C8" i="3" s="1"/>
  <c r="A9" i="3"/>
  <c r="B9" i="3" s="1"/>
  <c r="C9" i="3" s="1"/>
  <c r="A10" i="3"/>
  <c r="B10" i="3" s="1"/>
  <c r="C10" i="3" s="1"/>
  <c r="A11" i="3"/>
  <c r="B11" i="3" s="1"/>
  <c r="C11" i="3" s="1"/>
  <c r="A12" i="3"/>
  <c r="B12" i="3" s="1"/>
  <c r="C12" i="3" s="1"/>
  <c r="A13" i="3"/>
  <c r="B13" i="3" s="1"/>
  <c r="C13" i="3" s="1"/>
  <c r="A14" i="3"/>
  <c r="B14" i="3" s="1"/>
  <c r="C14" i="3" s="1"/>
  <c r="A15" i="3"/>
  <c r="B15" i="3" s="1"/>
  <c r="C15" i="3" s="1"/>
  <c r="A16" i="3"/>
  <c r="B16" i="3" s="1"/>
  <c r="C16" i="3" s="1"/>
  <c r="A17" i="3"/>
  <c r="B17" i="3" s="1"/>
  <c r="C17" i="3" s="1"/>
  <c r="A18" i="3"/>
  <c r="B18" i="3" s="1"/>
  <c r="C18" i="3" s="1"/>
  <c r="A19" i="3"/>
  <c r="B19" i="3" s="1"/>
  <c r="C19" i="3" s="1"/>
  <c r="A20" i="3"/>
  <c r="B20" i="3" s="1"/>
  <c r="C20" i="3" s="1"/>
  <c r="A21" i="3"/>
  <c r="B21" i="3" s="1"/>
  <c r="C21" i="3" s="1"/>
  <c r="A22" i="3"/>
  <c r="B22" i="3" s="1"/>
  <c r="C22" i="3" s="1"/>
  <c r="A23" i="3"/>
  <c r="B23" i="3" s="1"/>
  <c r="C23" i="3" s="1"/>
  <c r="A24" i="3"/>
  <c r="B24" i="3" s="1"/>
  <c r="C24" i="3" s="1"/>
  <c r="A25" i="3"/>
  <c r="B25" i="3" s="1"/>
  <c r="C25" i="3" s="1"/>
  <c r="A26" i="3"/>
  <c r="B26" i="3" s="1"/>
  <c r="C26" i="3" s="1"/>
  <c r="A27" i="3"/>
  <c r="B27" i="3" s="1"/>
  <c r="C27" i="3" s="1"/>
  <c r="A28" i="3"/>
  <c r="B28" i="3" s="1"/>
  <c r="C28" i="3" s="1"/>
  <c r="A29" i="3"/>
  <c r="B29" i="3" s="1"/>
  <c r="C29" i="3" s="1"/>
  <c r="A30" i="3"/>
  <c r="B30" i="3" s="1"/>
  <c r="C30" i="3" s="1"/>
  <c r="A31" i="3"/>
  <c r="B31" i="3" s="1"/>
  <c r="C31" i="3" s="1"/>
  <c r="A32" i="3"/>
  <c r="B32" i="3" s="1"/>
  <c r="C32" i="3" s="1"/>
  <c r="A33" i="3"/>
  <c r="B33" i="3" s="1"/>
  <c r="C33" i="3" s="1"/>
  <c r="A34" i="3"/>
  <c r="B34" i="3" s="1"/>
  <c r="C34" i="3" s="1"/>
  <c r="A35" i="3"/>
  <c r="B35" i="3" s="1"/>
  <c r="C35" i="3" s="1"/>
  <c r="A36" i="3"/>
  <c r="B36" i="3" s="1"/>
  <c r="C36" i="3" s="1"/>
  <c r="A37" i="3"/>
  <c r="B37" i="3" s="1"/>
  <c r="C37" i="3" s="1"/>
  <c r="A38" i="3"/>
  <c r="B38" i="3" s="1"/>
  <c r="C38" i="3" s="1"/>
  <c r="A39" i="3"/>
  <c r="B39" i="3" s="1"/>
  <c r="C39" i="3" s="1"/>
  <c r="A40" i="3"/>
  <c r="B40" i="3" s="1"/>
  <c r="C40" i="3" s="1"/>
  <c r="A41" i="3"/>
  <c r="B41" i="3" s="1"/>
  <c r="C41" i="3" s="1"/>
  <c r="A42" i="3"/>
  <c r="B42" i="3" s="1"/>
  <c r="C42" i="3" s="1"/>
  <c r="A43" i="3"/>
  <c r="B43" i="3" s="1"/>
  <c r="C43" i="3" s="1"/>
  <c r="A44" i="3"/>
  <c r="B44" i="3" s="1"/>
  <c r="C44" i="3" s="1"/>
  <c r="A45" i="3"/>
  <c r="B45" i="3" s="1"/>
  <c r="C45" i="3" s="1"/>
  <c r="A46" i="3"/>
  <c r="B46" i="3" s="1"/>
  <c r="C46" i="3" s="1"/>
  <c r="A47" i="3"/>
  <c r="B47" i="3" s="1"/>
  <c r="C47" i="3" s="1"/>
  <c r="A48" i="3"/>
  <c r="B48" i="3" s="1"/>
  <c r="C48" i="3" s="1"/>
  <c r="A49" i="3"/>
  <c r="B49" i="3" s="1"/>
  <c r="C49" i="3" s="1"/>
  <c r="A50" i="3"/>
  <c r="B50" i="3" s="1"/>
  <c r="C50" i="3" s="1"/>
  <c r="A51" i="3"/>
  <c r="B51" i="3" s="1"/>
  <c r="C51" i="3" s="1"/>
  <c r="A52" i="3"/>
  <c r="B52" i="3" s="1"/>
  <c r="C52" i="3" s="1"/>
  <c r="A53" i="3"/>
  <c r="B53" i="3" s="1"/>
  <c r="C53" i="3" s="1"/>
  <c r="A54" i="3"/>
  <c r="B54" i="3" s="1"/>
  <c r="C54" i="3" s="1"/>
  <c r="A55" i="3"/>
  <c r="B55" i="3" s="1"/>
  <c r="C55" i="3" s="1"/>
  <c r="A56" i="3"/>
  <c r="B56" i="3" s="1"/>
  <c r="C56" i="3" s="1"/>
  <c r="A57" i="3"/>
  <c r="B57" i="3" s="1"/>
  <c r="C57" i="3" s="1"/>
  <c r="A58" i="3"/>
  <c r="B58" i="3" s="1"/>
  <c r="C58" i="3" s="1"/>
  <c r="A59" i="3"/>
  <c r="B59" i="3" s="1"/>
  <c r="C59" i="3" s="1"/>
  <c r="A60" i="3"/>
  <c r="B60" i="3" s="1"/>
  <c r="C60" i="3" s="1"/>
  <c r="A61" i="3"/>
  <c r="B61" i="3" s="1"/>
  <c r="C61" i="3" s="1"/>
  <c r="A62" i="3"/>
  <c r="B62" i="3" s="1"/>
  <c r="C62" i="3" s="1"/>
  <c r="A63" i="3"/>
  <c r="B63" i="3" s="1"/>
  <c r="C63" i="3" s="1"/>
  <c r="A64" i="3"/>
  <c r="B64" i="3" s="1"/>
  <c r="C64" i="3" s="1"/>
  <c r="A65" i="3"/>
  <c r="B65" i="3" s="1"/>
  <c r="C65" i="3" s="1"/>
  <c r="A66" i="3"/>
  <c r="B66" i="3" s="1"/>
  <c r="C66" i="3" s="1"/>
  <c r="A67" i="3"/>
  <c r="B67" i="3" s="1"/>
  <c r="C67" i="3" s="1"/>
  <c r="A68" i="3"/>
  <c r="B68" i="3" s="1"/>
  <c r="C68" i="3" s="1"/>
  <c r="A69" i="3"/>
  <c r="B69" i="3" s="1"/>
  <c r="C69" i="3" s="1"/>
  <c r="A70" i="3"/>
  <c r="B70" i="3" s="1"/>
  <c r="C70" i="3" s="1"/>
  <c r="A71" i="3"/>
  <c r="B71" i="3" s="1"/>
  <c r="C71" i="3" s="1"/>
  <c r="A72" i="3"/>
  <c r="B72" i="3" s="1"/>
  <c r="C72" i="3" s="1"/>
  <c r="A73" i="3"/>
  <c r="B73" i="3" s="1"/>
  <c r="C73" i="3" s="1"/>
  <c r="A74" i="3"/>
  <c r="B74" i="3" s="1"/>
  <c r="C74" i="3" s="1"/>
  <c r="A75" i="3"/>
  <c r="B75" i="3" s="1"/>
  <c r="C75" i="3" s="1"/>
  <c r="A76" i="3"/>
  <c r="B76" i="3" s="1"/>
  <c r="C76" i="3" s="1"/>
  <c r="A77" i="3"/>
  <c r="B77" i="3" s="1"/>
  <c r="C77" i="3" s="1"/>
  <c r="A78" i="3"/>
  <c r="B78" i="3" s="1"/>
  <c r="C78" i="3" s="1"/>
  <c r="A79" i="3"/>
  <c r="B79" i="3" s="1"/>
  <c r="C79" i="3" s="1"/>
  <c r="A80" i="3"/>
  <c r="B80" i="3" s="1"/>
  <c r="C80" i="3" s="1"/>
  <c r="A81" i="3"/>
  <c r="B81" i="3" s="1"/>
  <c r="C81" i="3" s="1"/>
  <c r="A82" i="3"/>
  <c r="B82" i="3" s="1"/>
  <c r="C82" i="3" s="1"/>
  <c r="A83" i="3"/>
  <c r="B83" i="3" s="1"/>
  <c r="C83" i="3" s="1"/>
  <c r="A84" i="3"/>
  <c r="B84" i="3" s="1"/>
  <c r="C84" i="3" s="1"/>
  <c r="A85" i="3"/>
  <c r="B85" i="3" s="1"/>
  <c r="C85" i="3" s="1"/>
  <c r="A86" i="3"/>
  <c r="B86" i="3" s="1"/>
  <c r="C86" i="3" s="1"/>
  <c r="A87" i="3"/>
  <c r="B87" i="3" s="1"/>
  <c r="C87" i="3" s="1"/>
  <c r="A88" i="3"/>
  <c r="B88" i="3" s="1"/>
  <c r="C88" i="3" s="1"/>
  <c r="A89" i="3"/>
  <c r="B89" i="3" s="1"/>
  <c r="C89" i="3" s="1"/>
  <c r="A90" i="3"/>
  <c r="B90" i="3" s="1"/>
  <c r="C90" i="3" s="1"/>
  <c r="A91" i="3"/>
  <c r="B91" i="3" s="1"/>
  <c r="C91" i="3" s="1"/>
  <c r="A92" i="3"/>
  <c r="B92" i="3" s="1"/>
  <c r="C92" i="3" s="1"/>
  <c r="A93" i="3"/>
  <c r="B93" i="3" s="1"/>
  <c r="C93" i="3" s="1"/>
  <c r="A94" i="3"/>
  <c r="B94" i="3" s="1"/>
  <c r="C94" i="3" s="1"/>
  <c r="A95" i="3"/>
  <c r="B95" i="3" s="1"/>
  <c r="C95" i="3" s="1"/>
  <c r="A96" i="3"/>
  <c r="B96" i="3" s="1"/>
  <c r="C96" i="3" s="1"/>
  <c r="A97" i="3"/>
  <c r="B97" i="3" s="1"/>
  <c r="C97" i="3" s="1"/>
  <c r="A98" i="3"/>
  <c r="B98" i="3" s="1"/>
  <c r="C98" i="3" s="1"/>
  <c r="A99" i="3"/>
  <c r="B99" i="3" s="1"/>
  <c r="C99" i="3" s="1"/>
  <c r="A100" i="3"/>
  <c r="B100" i="3" s="1"/>
  <c r="C100" i="3" s="1"/>
  <c r="A101" i="3"/>
  <c r="B101" i="3" s="1"/>
  <c r="C101" i="3" s="1"/>
  <c r="A102" i="3"/>
  <c r="B102" i="3" s="1"/>
  <c r="C102" i="3" s="1"/>
  <c r="A103" i="3"/>
  <c r="B103" i="3" s="1"/>
  <c r="C103" i="3" s="1"/>
  <c r="A104" i="3"/>
  <c r="B104" i="3" s="1"/>
  <c r="C104" i="3" s="1"/>
  <c r="A105" i="3"/>
  <c r="B105" i="3" s="1"/>
  <c r="C105" i="3" s="1"/>
  <c r="A106" i="3"/>
  <c r="B106" i="3" s="1"/>
  <c r="C106" i="3" s="1"/>
  <c r="A107" i="3"/>
  <c r="B107" i="3" s="1"/>
  <c r="C107" i="3" s="1"/>
  <c r="A108" i="3"/>
  <c r="B108" i="3" s="1"/>
  <c r="C108" i="3" s="1"/>
  <c r="A109" i="3"/>
  <c r="B109" i="3" s="1"/>
  <c r="C109" i="3" s="1"/>
  <c r="A110" i="3"/>
  <c r="B110" i="3" s="1"/>
  <c r="C110" i="3" s="1"/>
  <c r="A111" i="3"/>
  <c r="B111" i="3" s="1"/>
  <c r="C111" i="3" s="1"/>
  <c r="A112" i="3"/>
  <c r="B112" i="3" s="1"/>
  <c r="C112" i="3" s="1"/>
  <c r="A113" i="3"/>
  <c r="B113" i="3" s="1"/>
  <c r="C113" i="3" s="1"/>
  <c r="A114" i="3"/>
  <c r="B114" i="3" s="1"/>
  <c r="C114" i="3" s="1"/>
  <c r="A115" i="3"/>
  <c r="B115" i="3" s="1"/>
  <c r="C115" i="3" s="1"/>
  <c r="A116" i="3"/>
  <c r="B116" i="3" s="1"/>
  <c r="C116" i="3" s="1"/>
  <c r="A117" i="3"/>
  <c r="B117" i="3" s="1"/>
  <c r="C117" i="3" s="1"/>
  <c r="A118" i="3"/>
  <c r="B118" i="3" s="1"/>
  <c r="C118" i="3" s="1"/>
  <c r="A119" i="3"/>
  <c r="B119" i="3" s="1"/>
  <c r="C119" i="3" s="1"/>
  <c r="A120" i="3"/>
  <c r="B120" i="3" s="1"/>
  <c r="C120" i="3" s="1"/>
  <c r="A121" i="3"/>
  <c r="B121" i="3" s="1"/>
  <c r="C121" i="3" s="1"/>
  <c r="A122" i="3"/>
  <c r="B122" i="3" s="1"/>
  <c r="C122" i="3" s="1"/>
  <c r="A123" i="3"/>
  <c r="B123" i="3" s="1"/>
  <c r="C123" i="3" s="1"/>
  <c r="A124" i="3"/>
  <c r="B124" i="3" s="1"/>
  <c r="C124" i="3" s="1"/>
  <c r="A125" i="3"/>
  <c r="B125" i="3" s="1"/>
  <c r="C125" i="3" s="1"/>
  <c r="A126" i="3"/>
  <c r="B126" i="3" s="1"/>
  <c r="C126" i="3" s="1"/>
  <c r="A127" i="3"/>
  <c r="B127" i="3" s="1"/>
  <c r="C127" i="3" s="1"/>
  <c r="A128" i="3"/>
  <c r="B128" i="3" s="1"/>
  <c r="C128" i="3" s="1"/>
  <c r="A129" i="3"/>
  <c r="B129" i="3" s="1"/>
  <c r="C129" i="3" s="1"/>
  <c r="A130" i="3"/>
  <c r="B130" i="3" s="1"/>
  <c r="C130" i="3" s="1"/>
  <c r="A131" i="3"/>
  <c r="B131" i="3" s="1"/>
  <c r="C131" i="3" s="1"/>
  <c r="A132" i="3"/>
  <c r="B132" i="3" s="1"/>
  <c r="C132" i="3" s="1"/>
  <c r="A133" i="3"/>
  <c r="B133" i="3" s="1"/>
  <c r="C133" i="3" s="1"/>
  <c r="A134" i="3"/>
  <c r="B134" i="3" s="1"/>
  <c r="C134" i="3" s="1"/>
  <c r="A135" i="3"/>
  <c r="B135" i="3" s="1"/>
  <c r="C135" i="3" s="1"/>
  <c r="A136" i="3"/>
  <c r="B136" i="3" s="1"/>
  <c r="C136" i="3" s="1"/>
  <c r="A137" i="3"/>
  <c r="B137" i="3" s="1"/>
  <c r="C137" i="3" s="1"/>
  <c r="A138" i="3"/>
  <c r="B138" i="3" s="1"/>
  <c r="C138" i="3" s="1"/>
  <c r="A139" i="3"/>
  <c r="B139" i="3" s="1"/>
  <c r="C139" i="3" s="1"/>
  <c r="A140" i="3"/>
  <c r="B140" i="3" s="1"/>
  <c r="C140" i="3" s="1"/>
  <c r="A141" i="3"/>
  <c r="B141" i="3" s="1"/>
  <c r="C141" i="3" s="1"/>
  <c r="A142" i="3"/>
  <c r="B142" i="3" s="1"/>
  <c r="C142" i="3" s="1"/>
  <c r="A143" i="3"/>
  <c r="B143" i="3" s="1"/>
  <c r="C143" i="3" s="1"/>
  <c r="A144" i="3"/>
  <c r="B144" i="3" s="1"/>
  <c r="C144" i="3" s="1"/>
  <c r="A145" i="3"/>
  <c r="B145" i="3" s="1"/>
  <c r="C145" i="3" s="1"/>
  <c r="A146" i="3"/>
  <c r="B146" i="3" s="1"/>
  <c r="C146" i="3" s="1"/>
  <c r="A147" i="3"/>
  <c r="B147" i="3" s="1"/>
  <c r="C147" i="3" s="1"/>
  <c r="A148" i="3"/>
  <c r="B148" i="3" s="1"/>
  <c r="C148" i="3" s="1"/>
  <c r="A149" i="3"/>
  <c r="B149" i="3" s="1"/>
  <c r="C149" i="3" s="1"/>
  <c r="A150" i="3"/>
  <c r="B150" i="3" s="1"/>
  <c r="C150" i="3" s="1"/>
  <c r="A151" i="3"/>
  <c r="B151" i="3" s="1"/>
  <c r="C151" i="3" s="1"/>
  <c r="A152" i="3"/>
  <c r="B152" i="3" s="1"/>
  <c r="C152" i="3" s="1"/>
  <c r="A153" i="3"/>
  <c r="B153" i="3" s="1"/>
  <c r="C153" i="3" s="1"/>
  <c r="A154" i="3"/>
  <c r="B154" i="3" s="1"/>
  <c r="C154" i="3" s="1"/>
  <c r="A155" i="3"/>
  <c r="B155" i="3" s="1"/>
  <c r="C155" i="3" s="1"/>
  <c r="A156" i="3"/>
  <c r="B156" i="3" s="1"/>
  <c r="C156" i="3" s="1"/>
  <c r="A157" i="3"/>
  <c r="B157" i="3" s="1"/>
  <c r="C157" i="3" s="1"/>
  <c r="A158" i="3"/>
  <c r="B158" i="3" s="1"/>
  <c r="C158" i="3" s="1"/>
  <c r="A159" i="3"/>
  <c r="B159" i="3" s="1"/>
  <c r="C159" i="3" s="1"/>
  <c r="A160" i="3"/>
  <c r="B160" i="3" s="1"/>
  <c r="C160" i="3" s="1"/>
  <c r="A161" i="3"/>
  <c r="B161" i="3" s="1"/>
  <c r="C161" i="3" s="1"/>
  <c r="A162" i="3"/>
  <c r="B162" i="3" s="1"/>
  <c r="C162" i="3" s="1"/>
  <c r="A163" i="3"/>
  <c r="B163" i="3" s="1"/>
  <c r="C163" i="3" s="1"/>
  <c r="A164" i="3"/>
  <c r="B164" i="3" s="1"/>
  <c r="C164" i="3" s="1"/>
  <c r="A165" i="3"/>
  <c r="B165" i="3" s="1"/>
  <c r="C165" i="3" s="1"/>
  <c r="A166" i="3"/>
  <c r="B166" i="3" s="1"/>
  <c r="C166" i="3" s="1"/>
  <c r="A167" i="3"/>
  <c r="B167" i="3" s="1"/>
  <c r="C167" i="3" s="1"/>
  <c r="A168" i="3"/>
  <c r="B168" i="3" s="1"/>
  <c r="C168" i="3" s="1"/>
  <c r="A169" i="3"/>
  <c r="B169" i="3" s="1"/>
  <c r="C169" i="3" s="1"/>
  <c r="A170" i="3"/>
  <c r="B170" i="3" s="1"/>
  <c r="C170" i="3" s="1"/>
  <c r="A171" i="3"/>
  <c r="B171" i="3" s="1"/>
  <c r="C171" i="3" s="1"/>
  <c r="A172" i="3"/>
  <c r="B172" i="3" s="1"/>
  <c r="C172" i="3" s="1"/>
  <c r="A173" i="3"/>
  <c r="B173" i="3" s="1"/>
  <c r="C173" i="3" s="1"/>
  <c r="A174" i="3"/>
  <c r="B174" i="3" s="1"/>
  <c r="C174" i="3" s="1"/>
  <c r="A175" i="3"/>
  <c r="B175" i="3" s="1"/>
  <c r="C175" i="3" s="1"/>
  <c r="A176" i="3"/>
  <c r="B176" i="3" s="1"/>
  <c r="C176" i="3" s="1"/>
  <c r="A177" i="3"/>
  <c r="B177" i="3" s="1"/>
  <c r="C177" i="3" s="1"/>
  <c r="A178" i="3"/>
  <c r="B178" i="3" s="1"/>
  <c r="C178" i="3" s="1"/>
  <c r="A179" i="3"/>
  <c r="B179" i="3" s="1"/>
  <c r="C179" i="3" s="1"/>
  <c r="A180" i="3"/>
  <c r="B180" i="3" s="1"/>
  <c r="C180" i="3" s="1"/>
  <c r="A181" i="3"/>
  <c r="B181" i="3" s="1"/>
  <c r="C181" i="3" s="1"/>
  <c r="A182" i="3"/>
  <c r="B182" i="3" s="1"/>
  <c r="C182" i="3" s="1"/>
  <c r="A183" i="3"/>
  <c r="B183" i="3" s="1"/>
  <c r="C183" i="3" s="1"/>
  <c r="A184" i="3"/>
  <c r="B184" i="3" s="1"/>
  <c r="C184" i="3" s="1"/>
  <c r="A185" i="3"/>
  <c r="B185" i="3" s="1"/>
  <c r="C185" i="3" s="1"/>
  <c r="A186" i="3"/>
  <c r="B186" i="3" s="1"/>
  <c r="C186" i="3" s="1"/>
  <c r="A187" i="3"/>
  <c r="B187" i="3" s="1"/>
  <c r="C187" i="3" s="1"/>
  <c r="A188" i="3"/>
  <c r="B188" i="3" s="1"/>
  <c r="C188" i="3" s="1"/>
  <c r="A189" i="3"/>
  <c r="B189" i="3" s="1"/>
  <c r="C189" i="3" s="1"/>
  <c r="A190" i="3"/>
  <c r="B190" i="3" s="1"/>
  <c r="C190" i="3" s="1"/>
  <c r="A191" i="3"/>
  <c r="B191" i="3" s="1"/>
  <c r="C191" i="3" s="1"/>
  <c r="A192" i="3"/>
  <c r="B192" i="3" s="1"/>
  <c r="C192" i="3" s="1"/>
  <c r="A193" i="3"/>
  <c r="B193" i="3" s="1"/>
  <c r="C193" i="3" s="1"/>
  <c r="A194" i="3"/>
  <c r="B194" i="3" s="1"/>
  <c r="C194" i="3" s="1"/>
  <c r="A195" i="3"/>
  <c r="B195" i="3" s="1"/>
  <c r="C195" i="3" s="1"/>
  <c r="A196" i="3"/>
  <c r="B196" i="3" s="1"/>
  <c r="C196" i="3" s="1"/>
  <c r="A197" i="3"/>
  <c r="B197" i="3" s="1"/>
  <c r="C197" i="3" s="1"/>
  <c r="A198" i="3"/>
  <c r="B198" i="3" s="1"/>
  <c r="C198" i="3" s="1"/>
  <c r="A199" i="3"/>
  <c r="B199" i="3" s="1"/>
  <c r="C199" i="3" s="1"/>
  <c r="A200" i="3"/>
  <c r="B200" i="3" s="1"/>
  <c r="C200" i="3" s="1"/>
  <c r="A201" i="3"/>
  <c r="B201" i="3" s="1"/>
  <c r="C201" i="3" s="1"/>
  <c r="A202" i="3"/>
  <c r="B202" i="3" s="1"/>
  <c r="C202" i="3" s="1"/>
  <c r="A203" i="3"/>
  <c r="B203" i="3" s="1"/>
  <c r="C203" i="3" s="1"/>
  <c r="A204" i="3"/>
  <c r="B204" i="3" s="1"/>
  <c r="C204" i="3" s="1"/>
  <c r="A205" i="3"/>
  <c r="B205" i="3" s="1"/>
  <c r="C205" i="3" s="1"/>
  <c r="A206" i="3"/>
  <c r="B206" i="3" s="1"/>
  <c r="C206" i="3" s="1"/>
  <c r="A207" i="3"/>
  <c r="B207" i="3" s="1"/>
  <c r="C207" i="3" s="1"/>
  <c r="A208" i="3"/>
  <c r="B208" i="3" s="1"/>
  <c r="C208" i="3" s="1"/>
  <c r="A209" i="3"/>
  <c r="B209" i="3" s="1"/>
  <c r="C209" i="3" s="1"/>
  <c r="A210" i="3"/>
  <c r="B210" i="3" s="1"/>
  <c r="C210" i="3" s="1"/>
  <c r="A211" i="3"/>
  <c r="B211" i="3" s="1"/>
  <c r="C211" i="3" s="1"/>
  <c r="A212" i="3"/>
  <c r="B212" i="3" s="1"/>
  <c r="C212" i="3" s="1"/>
  <c r="A213" i="3"/>
  <c r="B213" i="3" s="1"/>
  <c r="C213" i="3" s="1"/>
  <c r="A214" i="3"/>
  <c r="B214" i="3" s="1"/>
  <c r="C214" i="3" s="1"/>
  <c r="A215" i="3"/>
  <c r="B215" i="3" s="1"/>
  <c r="C215" i="3" s="1"/>
  <c r="A216" i="3"/>
  <c r="B216" i="3" s="1"/>
  <c r="C216" i="3" s="1"/>
  <c r="A217" i="3"/>
  <c r="B217" i="3" s="1"/>
  <c r="C217" i="3" s="1"/>
  <c r="A218" i="3"/>
  <c r="B218" i="3" s="1"/>
  <c r="C218" i="3" s="1"/>
  <c r="A219" i="3"/>
  <c r="B219" i="3" s="1"/>
  <c r="C219" i="3" s="1"/>
  <c r="A220" i="3"/>
  <c r="B220" i="3" s="1"/>
  <c r="C220" i="3" s="1"/>
  <c r="A221" i="3"/>
  <c r="B221" i="3" s="1"/>
  <c r="C221" i="3" s="1"/>
  <c r="A222" i="3"/>
  <c r="B222" i="3" s="1"/>
  <c r="C222" i="3" s="1"/>
  <c r="A223" i="3"/>
  <c r="B223" i="3" s="1"/>
  <c r="C223" i="3" s="1"/>
  <c r="A224" i="3"/>
  <c r="B224" i="3" s="1"/>
  <c r="C224" i="3" s="1"/>
  <c r="A225" i="3"/>
  <c r="B225" i="3" s="1"/>
  <c r="C225" i="3" s="1"/>
  <c r="A226" i="3"/>
  <c r="B226" i="3" s="1"/>
  <c r="C226" i="3" s="1"/>
  <c r="A227" i="3"/>
  <c r="B227" i="3" s="1"/>
  <c r="C227" i="3" s="1"/>
  <c r="A228" i="3"/>
  <c r="B228" i="3" s="1"/>
  <c r="C228" i="3" s="1"/>
  <c r="A229" i="3"/>
  <c r="B229" i="3" s="1"/>
  <c r="C229" i="3" s="1"/>
  <c r="A230" i="3"/>
  <c r="B230" i="3" s="1"/>
  <c r="C230" i="3" s="1"/>
  <c r="A231" i="3"/>
  <c r="B231" i="3" s="1"/>
  <c r="C231" i="3" s="1"/>
  <c r="A232" i="3"/>
  <c r="B232" i="3" s="1"/>
  <c r="C232" i="3" s="1"/>
  <c r="A233" i="3"/>
  <c r="B233" i="3" s="1"/>
  <c r="C233" i="3" s="1"/>
  <c r="A234" i="3"/>
  <c r="B234" i="3" s="1"/>
  <c r="C234" i="3" s="1"/>
  <c r="A235" i="3"/>
  <c r="B235" i="3" s="1"/>
  <c r="C235" i="3" s="1"/>
  <c r="A236" i="3"/>
  <c r="B236" i="3" s="1"/>
  <c r="C236" i="3" s="1"/>
  <c r="A237" i="3"/>
  <c r="B237" i="3" s="1"/>
  <c r="C237" i="3" s="1"/>
  <c r="A238" i="3"/>
  <c r="B238" i="3" s="1"/>
  <c r="C238" i="3" s="1"/>
  <c r="A239" i="3"/>
  <c r="B239" i="3" s="1"/>
  <c r="C239" i="3" s="1"/>
  <c r="A240" i="3"/>
  <c r="B240" i="3" s="1"/>
  <c r="C240" i="3" s="1"/>
  <c r="A241" i="3"/>
  <c r="B241" i="3" s="1"/>
  <c r="C241" i="3" s="1"/>
  <c r="A242" i="3"/>
  <c r="B242" i="3" s="1"/>
  <c r="C242" i="3" s="1"/>
  <c r="A243" i="3"/>
  <c r="B243" i="3" s="1"/>
  <c r="C243" i="3" s="1"/>
  <c r="A244" i="3"/>
  <c r="B244" i="3" s="1"/>
  <c r="C244" i="3" s="1"/>
  <c r="A245" i="3"/>
  <c r="B245" i="3" s="1"/>
  <c r="C245" i="3" s="1"/>
  <c r="A246" i="3"/>
  <c r="B246" i="3" s="1"/>
  <c r="C246" i="3" s="1"/>
  <c r="A247" i="3"/>
  <c r="B247" i="3" s="1"/>
  <c r="C247" i="3" s="1"/>
  <c r="A248" i="3"/>
  <c r="B248" i="3" s="1"/>
  <c r="C248" i="3" s="1"/>
  <c r="A249" i="3"/>
  <c r="B249" i="3" s="1"/>
  <c r="C249" i="3" s="1"/>
  <c r="A250" i="3"/>
  <c r="B250" i="3" s="1"/>
  <c r="C250" i="3" s="1"/>
  <c r="A251" i="3"/>
  <c r="B251" i="3" s="1"/>
  <c r="C251" i="3" s="1"/>
  <c r="A252" i="3"/>
  <c r="B252" i="3" s="1"/>
  <c r="C252" i="3" s="1"/>
  <c r="A253" i="3"/>
  <c r="B253" i="3" s="1"/>
  <c r="C253" i="3" s="1"/>
  <c r="A254" i="3"/>
  <c r="B254" i="3" s="1"/>
  <c r="C254" i="3" s="1"/>
  <c r="A255" i="3"/>
  <c r="B255" i="3" s="1"/>
  <c r="C255" i="3" s="1"/>
  <c r="A256" i="3"/>
  <c r="B256" i="3" s="1"/>
  <c r="C256" i="3" s="1"/>
  <c r="A257" i="3"/>
  <c r="B257" i="3" s="1"/>
  <c r="C257" i="3" s="1"/>
  <c r="A258" i="3"/>
  <c r="B258" i="3" s="1"/>
  <c r="C258" i="3" s="1"/>
  <c r="A259" i="3"/>
  <c r="B259" i="3" s="1"/>
  <c r="C259" i="3" s="1"/>
  <c r="A260" i="3"/>
  <c r="B260" i="3" s="1"/>
  <c r="C260" i="3" s="1"/>
  <c r="A261" i="3"/>
  <c r="B261" i="3" s="1"/>
  <c r="C261" i="3" s="1"/>
  <c r="A262" i="3"/>
  <c r="B262" i="3" s="1"/>
  <c r="C262" i="3" s="1"/>
  <c r="A263" i="3"/>
  <c r="B263" i="3" s="1"/>
  <c r="C263" i="3" s="1"/>
  <c r="A264" i="3"/>
  <c r="B264" i="3" s="1"/>
  <c r="C264" i="3" s="1"/>
  <c r="A265" i="3"/>
  <c r="B265" i="3" s="1"/>
  <c r="C265" i="3" s="1"/>
  <c r="A266" i="3"/>
  <c r="B266" i="3" s="1"/>
  <c r="C266" i="3" s="1"/>
  <c r="A267" i="3"/>
  <c r="B267" i="3" s="1"/>
  <c r="C267" i="3" s="1"/>
  <c r="A268" i="3"/>
  <c r="B268" i="3" s="1"/>
  <c r="C268" i="3" s="1"/>
  <c r="A269" i="3"/>
  <c r="B269" i="3" s="1"/>
  <c r="C269" i="3" s="1"/>
  <c r="A270" i="3"/>
  <c r="B270" i="3" s="1"/>
  <c r="C270" i="3" s="1"/>
  <c r="A271" i="3"/>
  <c r="B271" i="3" s="1"/>
  <c r="C271" i="3" s="1"/>
  <c r="A272" i="3"/>
  <c r="B272" i="3" s="1"/>
  <c r="C272" i="3" s="1"/>
  <c r="A273" i="3"/>
  <c r="B273" i="3" s="1"/>
  <c r="C273" i="3" s="1"/>
  <c r="A274" i="3"/>
  <c r="B274" i="3" s="1"/>
  <c r="C274" i="3" s="1"/>
  <c r="A275" i="3"/>
  <c r="B275" i="3" s="1"/>
  <c r="C275" i="3" s="1"/>
  <c r="A276" i="3"/>
  <c r="B276" i="3" s="1"/>
  <c r="C276" i="3" s="1"/>
  <c r="A277" i="3"/>
  <c r="B277" i="3" s="1"/>
  <c r="C277" i="3" s="1"/>
  <c r="A278" i="3"/>
  <c r="B278" i="3" s="1"/>
  <c r="C278" i="3" s="1"/>
  <c r="A279" i="3"/>
  <c r="B279" i="3" s="1"/>
  <c r="C279" i="3" s="1"/>
  <c r="A280" i="3"/>
  <c r="B280" i="3" s="1"/>
  <c r="C280" i="3" s="1"/>
  <c r="A281" i="3"/>
  <c r="B281" i="3" s="1"/>
  <c r="C281" i="3" s="1"/>
  <c r="A282" i="3"/>
  <c r="B282" i="3" s="1"/>
  <c r="C282" i="3" s="1"/>
  <c r="A283" i="3"/>
  <c r="B283" i="3" s="1"/>
  <c r="C283" i="3" s="1"/>
  <c r="A284" i="3"/>
  <c r="B284" i="3" s="1"/>
  <c r="C284" i="3" s="1"/>
  <c r="A285" i="3"/>
  <c r="B285" i="3" s="1"/>
  <c r="C285" i="3" s="1"/>
  <c r="A286" i="3"/>
  <c r="B286" i="3" s="1"/>
  <c r="C286" i="3" s="1"/>
  <c r="A287" i="3"/>
  <c r="B287" i="3" s="1"/>
  <c r="C287" i="3" s="1"/>
  <c r="A288" i="3"/>
  <c r="B288" i="3" s="1"/>
  <c r="C288" i="3" s="1"/>
  <c r="A289" i="3"/>
  <c r="B289" i="3" s="1"/>
  <c r="C289" i="3" s="1"/>
  <c r="A290" i="3"/>
  <c r="B290" i="3" s="1"/>
  <c r="C290" i="3" s="1"/>
  <c r="A291" i="3"/>
  <c r="B291" i="3" s="1"/>
  <c r="C291" i="3" s="1"/>
  <c r="A292" i="3"/>
  <c r="B292" i="3" s="1"/>
  <c r="C292" i="3" s="1"/>
  <c r="A293" i="3"/>
  <c r="B293" i="3" s="1"/>
  <c r="C293" i="3" s="1"/>
  <c r="A294" i="3"/>
  <c r="B294" i="3" s="1"/>
  <c r="C294" i="3" s="1"/>
  <c r="A295" i="3"/>
  <c r="B295" i="3" s="1"/>
  <c r="C295" i="3" s="1"/>
  <c r="A3" i="3"/>
  <c r="B3" i="3" s="1"/>
  <c r="C3" i="3" s="1"/>
  <c r="D3" i="3"/>
  <c r="O14" i="1"/>
</calcChain>
</file>

<file path=xl/sharedStrings.xml><?xml version="1.0" encoding="utf-8"?>
<sst xmlns="http://schemas.openxmlformats.org/spreadsheetml/2006/main" count="2429" uniqueCount="374">
  <si>
    <t>Applicant_ID</t>
  </si>
  <si>
    <t>Application_Date</t>
  </si>
  <si>
    <t>Department</t>
  </si>
  <si>
    <t>Experience_Years</t>
  </si>
  <si>
    <t>Education_Level</t>
  </si>
  <si>
    <t>Interview_Score</t>
  </si>
  <si>
    <t>Application_Status</t>
  </si>
  <si>
    <t>APP00216</t>
  </si>
  <si>
    <t>Sales</t>
  </si>
  <si>
    <t>Diploma</t>
  </si>
  <si>
    <t>Hired</t>
  </si>
  <si>
    <t>IT</t>
  </si>
  <si>
    <t>Master</t>
  </si>
  <si>
    <t>APP00161</t>
  </si>
  <si>
    <t>Bachelor</t>
  </si>
  <si>
    <t>APP00280</t>
  </si>
  <si>
    <t>HR</t>
  </si>
  <si>
    <t>Shortlisted</t>
  </si>
  <si>
    <t>APP00032</t>
  </si>
  <si>
    <t>Administration</t>
  </si>
  <si>
    <t>APP00124</t>
  </si>
  <si>
    <t>Finance</t>
  </si>
  <si>
    <t>APP00228</t>
  </si>
  <si>
    <t>APP00069</t>
  </si>
  <si>
    <t>Operations</t>
  </si>
  <si>
    <t>Pending</t>
  </si>
  <si>
    <t>APP00287</t>
  </si>
  <si>
    <t>Rejected</t>
  </si>
  <si>
    <t>APP00020</t>
  </si>
  <si>
    <t>APP00254</t>
  </si>
  <si>
    <t>APP00080</t>
  </si>
  <si>
    <t>APP00078</t>
  </si>
  <si>
    <t>APP00238</t>
  </si>
  <si>
    <t>APP00259</t>
  </si>
  <si>
    <t>APP00187</t>
  </si>
  <si>
    <t>APP00026</t>
  </si>
  <si>
    <t>Unknown</t>
  </si>
  <si>
    <t>APP00225</t>
  </si>
  <si>
    <t>APP00165</t>
  </si>
  <si>
    <t>APP00231</t>
  </si>
  <si>
    <t>APP00217</t>
  </si>
  <si>
    <t>APP00006</t>
  </si>
  <si>
    <t>APP00227</t>
  </si>
  <si>
    <t>APP00269</t>
  </si>
  <si>
    <t>PhD</t>
  </si>
  <si>
    <t>APP00257</t>
  </si>
  <si>
    <t>APP00194</t>
  </si>
  <si>
    <t>APP00039</t>
  </si>
  <si>
    <t>APP00159</t>
  </si>
  <si>
    <t>APP00141</t>
  </si>
  <si>
    <t>APP00129</t>
  </si>
  <si>
    <t>APP00247</t>
  </si>
  <si>
    <t>APP00267</t>
  </si>
  <si>
    <t>APP00163</t>
  </si>
  <si>
    <t>APP00281</t>
  </si>
  <si>
    <t>APP00224</t>
  </si>
  <si>
    <t>APP00091</t>
  </si>
  <si>
    <t>APP00047</t>
  </si>
  <si>
    <t>APP00009</t>
  </si>
  <si>
    <t>APP00055</t>
  </si>
  <si>
    <t>APP00063</t>
  </si>
  <si>
    <t>APP00125</t>
  </si>
  <si>
    <t>APP00156</t>
  </si>
  <si>
    <t>APP00008</t>
  </si>
  <si>
    <t>APP00243</t>
  </si>
  <si>
    <t>APP00178</t>
  </si>
  <si>
    <t>APP00049</t>
  </si>
  <si>
    <t>APP00193</t>
  </si>
  <si>
    <t>APP00292</t>
  </si>
  <si>
    <t>APP00040</t>
  </si>
  <si>
    <t>APP00253</t>
  </si>
  <si>
    <t>APP00158</t>
  </si>
  <si>
    <t>APP00130</t>
  </si>
  <si>
    <t>APP00003</t>
  </si>
  <si>
    <t>APP00031</t>
  </si>
  <si>
    <t>APP00148</t>
  </si>
  <si>
    <t>APP00110</t>
  </si>
  <si>
    <t>APP00037</t>
  </si>
  <si>
    <t>APP00094</t>
  </si>
  <si>
    <t>APP00175</t>
  </si>
  <si>
    <t>APP00167</t>
  </si>
  <si>
    <t>APP00079</t>
  </si>
  <si>
    <t>APP00277</t>
  </si>
  <si>
    <t>APP00140</t>
  </si>
  <si>
    <t>APP00048</t>
  </si>
  <si>
    <t>APP00209</t>
  </si>
  <si>
    <t>APP00109</t>
  </si>
  <si>
    <t>APP00261</t>
  </si>
  <si>
    <t>APP00233</t>
  </si>
  <si>
    <t>APP00155</t>
  </si>
  <si>
    <t>APP00184</t>
  </si>
  <si>
    <t>APP00150</t>
  </si>
  <si>
    <t>APP00127</t>
  </si>
  <si>
    <t>APP00002</t>
  </si>
  <si>
    <t>APP00201</t>
  </si>
  <si>
    <t>APP00288</t>
  </si>
  <si>
    <t>APP00237</t>
  </si>
  <si>
    <t>APP00258</t>
  </si>
  <si>
    <t>APP00197</t>
  </si>
  <si>
    <t>APP00088</t>
  </si>
  <si>
    <t>APP00180</t>
  </si>
  <si>
    <t>APP00092</t>
  </si>
  <si>
    <t>APP00173</t>
  </si>
  <si>
    <t>APP00102</t>
  </si>
  <si>
    <t>APP00144</t>
  </si>
  <si>
    <t>APP00272</t>
  </si>
  <si>
    <t>-</t>
  </si>
  <si>
    <t>APP00018</t>
  </si>
  <si>
    <t>APP00087</t>
  </si>
  <si>
    <t>APP00199</t>
  </si>
  <si>
    <t>APP00220</t>
  </si>
  <si>
    <t>APP00051</t>
  </si>
  <si>
    <t>APP00017</t>
  </si>
  <si>
    <t>APP00278</t>
  </si>
  <si>
    <t>APP00189</t>
  </si>
  <si>
    <t>APP00283</t>
  </si>
  <si>
    <t>APP00095</t>
  </si>
  <si>
    <t>APP00099</t>
  </si>
  <si>
    <t>APP00174</t>
  </si>
  <si>
    <t>APP00019</t>
  </si>
  <si>
    <t>APP00262</t>
  </si>
  <si>
    <t>APP00157</t>
  </si>
  <si>
    <t>APP00196</t>
  </si>
  <si>
    <t>APP00234</t>
  </si>
  <si>
    <t>APP00027</t>
  </si>
  <si>
    <t>APP00025</t>
  </si>
  <si>
    <t>APP00042</t>
  </si>
  <si>
    <t>APP00105</t>
  </si>
  <si>
    <t>APP00206</t>
  </si>
  <si>
    <t>APP00162</t>
  </si>
  <si>
    <t>APP00171</t>
  </si>
  <si>
    <t>APP00153</t>
  </si>
  <si>
    <t>APP00005</t>
  </si>
  <si>
    <t>APP00191</t>
  </si>
  <si>
    <t>APP00160</t>
  </si>
  <si>
    <t>APP00215</t>
  </si>
  <si>
    <t>APP00046</t>
  </si>
  <si>
    <t>APP00286</t>
  </si>
  <si>
    <t>APP00245</t>
  </si>
  <si>
    <t>APP00147</t>
  </si>
  <si>
    <t>APP00044</t>
  </si>
  <si>
    <t>APP00218</t>
  </si>
  <si>
    <t>APP00229</t>
  </si>
  <si>
    <t>APP00291</t>
  </si>
  <si>
    <t>APP00182</t>
  </si>
  <si>
    <t>APP00172</t>
  </si>
  <si>
    <t>APP00096</t>
  </si>
  <si>
    <t>APP00113</t>
  </si>
  <si>
    <t>APP00118</t>
  </si>
  <si>
    <t>APP00023</t>
  </si>
  <si>
    <t>APP00066</t>
  </si>
  <si>
    <t>APP00221</t>
  </si>
  <si>
    <t>APP00093</t>
  </si>
  <si>
    <t>APP00073</t>
  </si>
  <si>
    <t>APP00062</t>
  </si>
  <si>
    <t>APP00070</t>
  </si>
  <si>
    <t>APP00242</t>
  </si>
  <si>
    <t>APP00279</t>
  </si>
  <si>
    <t>APP00256</t>
  </si>
  <si>
    <t>APP00236</t>
  </si>
  <si>
    <t>APP00089</t>
  </si>
  <si>
    <t>APP00263</t>
  </si>
  <si>
    <t>APP00077</t>
  </si>
  <si>
    <t>APP00007</t>
  </si>
  <si>
    <t>APP00115</t>
  </si>
  <si>
    <t>APP00014</t>
  </si>
  <si>
    <t>APP00112</t>
  </si>
  <si>
    <t>APP00239</t>
  </si>
  <si>
    <t>APP00255</t>
  </si>
  <si>
    <t>APP00219</t>
  </si>
  <si>
    <t>APP00082</t>
  </si>
  <si>
    <t>APP00123</t>
  </si>
  <si>
    <t>APP00068</t>
  </si>
  <si>
    <t>APP00052</t>
  </si>
  <si>
    <t>APP00264</t>
  </si>
  <si>
    <t>APP00207</t>
  </si>
  <si>
    <t>APP00270</t>
  </si>
  <si>
    <t>APP00208</t>
  </si>
  <si>
    <t>APP00211</t>
  </si>
  <si>
    <t>APP00149</t>
  </si>
  <si>
    <t>APP00284</t>
  </si>
  <si>
    <t>APP00251</t>
  </si>
  <si>
    <t>APP00203</t>
  </si>
  <si>
    <t>APP00213</t>
  </si>
  <si>
    <t>APP00036</t>
  </si>
  <si>
    <t>APP00103</t>
  </si>
  <si>
    <t>APP00101</t>
  </si>
  <si>
    <t>APP00084</t>
  </si>
  <si>
    <t>APP00183</t>
  </si>
  <si>
    <t>APP00116</t>
  </si>
  <si>
    <t>APP00050</t>
  </si>
  <si>
    <t>APP00202</t>
  </si>
  <si>
    <t>APP00029</t>
  </si>
  <si>
    <t>APP00136</t>
  </si>
  <si>
    <t>APP00038</t>
  </si>
  <si>
    <t>APP00282</t>
  </si>
  <si>
    <t>APP00181</t>
  </si>
  <si>
    <t>APP00058</t>
  </si>
  <si>
    <t>APP00145</t>
  </si>
  <si>
    <t>APP00016</t>
  </si>
  <si>
    <t>APP00285</t>
  </si>
  <si>
    <t>APP00152</t>
  </si>
  <si>
    <t>APP00198</t>
  </si>
  <si>
    <t>APP00012</t>
  </si>
  <si>
    <t>APP00010</t>
  </si>
  <si>
    <t>APP00177</t>
  </si>
  <si>
    <t>APP00164</t>
  </si>
  <si>
    <t>APP00273</t>
  </si>
  <si>
    <t>APP00059</t>
  </si>
  <si>
    <t>APP00248</t>
  </si>
  <si>
    <t>APP00085</t>
  </si>
  <si>
    <t>APP00015</t>
  </si>
  <si>
    <t>APP00132</t>
  </si>
  <si>
    <t>APP00290</t>
  </si>
  <si>
    <t>APP00226</t>
  </si>
  <si>
    <t>APP00137</t>
  </si>
  <si>
    <t>APP00108</t>
  </si>
  <si>
    <t>APP00021</t>
  </si>
  <si>
    <t>APP00246</t>
  </si>
  <si>
    <t>APP00185</t>
  </si>
  <si>
    <t>APP00081</t>
  </si>
  <si>
    <t>APP00190</t>
  </si>
  <si>
    <t>APP00205</t>
  </si>
  <si>
    <t>APP00275</t>
  </si>
  <si>
    <t>APP00274</t>
  </si>
  <si>
    <t>APP00053</t>
  </si>
  <si>
    <t>APP00266</t>
  </si>
  <si>
    <t>APP00114</t>
  </si>
  <si>
    <t>APP00024</t>
  </si>
  <si>
    <t>APP00011</t>
  </si>
  <si>
    <t>APP00179</t>
  </si>
  <si>
    <t>APP00154</t>
  </si>
  <si>
    <t>APP00083</t>
  </si>
  <si>
    <t>APP00138</t>
  </si>
  <si>
    <t>APP00260</t>
  </si>
  <si>
    <t>APP00043</t>
  </si>
  <si>
    <t>APP00034</t>
  </si>
  <si>
    <t>APP00170</t>
  </si>
  <si>
    <t>APP00135</t>
  </si>
  <si>
    <t>APP00210</t>
  </si>
  <si>
    <t>APP00265</t>
  </si>
  <si>
    <t>APP00192</t>
  </si>
  <si>
    <t>APP00065</t>
  </si>
  <si>
    <t>APP00097</t>
  </si>
  <si>
    <t>APP00139</t>
  </si>
  <si>
    <t>APP00186</t>
  </si>
  <si>
    <t>APP00214</t>
  </si>
  <si>
    <t>APP00035</t>
  </si>
  <si>
    <t>APP00098</t>
  </si>
  <si>
    <t>APP00100</t>
  </si>
  <si>
    <t>APP00057</t>
  </si>
  <si>
    <t>APP00030</t>
  </si>
  <si>
    <t>APP00142</t>
  </si>
  <si>
    <t>APP00204</t>
  </si>
  <si>
    <t>APP00075</t>
  </si>
  <si>
    <t>APP00126</t>
  </si>
  <si>
    <t>APP00122</t>
  </si>
  <si>
    <t>APP00223</t>
  </si>
  <si>
    <t>APP00056</t>
  </si>
  <si>
    <t>APP00128</t>
  </si>
  <si>
    <t>APP00013</t>
  </si>
  <si>
    <t>APP00119</t>
  </si>
  <si>
    <t>APP00061</t>
  </si>
  <si>
    <t>APP00241</t>
  </si>
  <si>
    <t>APP00120</t>
  </si>
  <si>
    <t>APP00195</t>
  </si>
  <si>
    <t>APP00268</t>
  </si>
  <si>
    <t>APP00106</t>
  </si>
  <si>
    <t>APP00054</t>
  </si>
  <si>
    <t>APP00143</t>
  </si>
  <si>
    <t>APP00166</t>
  </si>
  <si>
    <t>APP00076</t>
  </si>
  <si>
    <t>APP00169</t>
  </si>
  <si>
    <t>APP00028</t>
  </si>
  <si>
    <t>APP00117</t>
  </si>
  <si>
    <t>APP00041</t>
  </si>
  <si>
    <t>APP00131</t>
  </si>
  <si>
    <t>APP00107</t>
  </si>
  <si>
    <t>APP00064</t>
  </si>
  <si>
    <t>APP00168</t>
  </si>
  <si>
    <t>APP00232</t>
  </si>
  <si>
    <t>APP00176</t>
  </si>
  <si>
    <t>APP00244</t>
  </si>
  <si>
    <t>APP00250</t>
  </si>
  <si>
    <t>APP00111</t>
  </si>
  <si>
    <t>APP00104</t>
  </si>
  <si>
    <t>APP00252</t>
  </si>
  <si>
    <t>APP00074</t>
  </si>
  <si>
    <t>APP00134</t>
  </si>
  <si>
    <t>APP00072</t>
  </si>
  <si>
    <t>APP00071</t>
  </si>
  <si>
    <t>APP00212</t>
  </si>
  <si>
    <t>APP00133</t>
  </si>
  <si>
    <t>APP00271</t>
  </si>
  <si>
    <t>APP00249</t>
  </si>
  <si>
    <t>APP00121</t>
  </si>
  <si>
    <t>APP00033</t>
  </si>
  <si>
    <t>APP00240</t>
  </si>
  <si>
    <t>APP00067</t>
  </si>
  <si>
    <t>APP00090</t>
  </si>
  <si>
    <t>APP00230</t>
  </si>
  <si>
    <t>finance</t>
  </si>
  <si>
    <t>bachelor</t>
  </si>
  <si>
    <t>NULL</t>
  </si>
  <si>
    <t>FINANCE</t>
  </si>
  <si>
    <t>shortlisted</t>
  </si>
  <si>
    <t>N/A</t>
  </si>
  <si>
    <t>hr</t>
  </si>
  <si>
    <t>rejected</t>
  </si>
  <si>
    <t>BACHELOR</t>
  </si>
  <si>
    <t>operations</t>
  </si>
  <si>
    <t>MISSING_ID_001</t>
  </si>
  <si>
    <t>MISSING_ID_002</t>
  </si>
  <si>
    <t>MISSING_ID_003</t>
  </si>
  <si>
    <t>MISSING_ID_004</t>
  </si>
  <si>
    <t>MISSING_ID_005</t>
  </si>
  <si>
    <t>MISSING_ID_006</t>
  </si>
  <si>
    <t>MISSING_ID_007</t>
  </si>
  <si>
    <t>MISSING_ID_008</t>
  </si>
  <si>
    <t>MISSING_ID_009</t>
  </si>
  <si>
    <t>MISSING_ID_010</t>
  </si>
  <si>
    <t>MISSING_ID_011</t>
  </si>
  <si>
    <t>MISSING_ID_012</t>
  </si>
  <si>
    <t>MISSING_ID_013</t>
  </si>
  <si>
    <t>MISSING_ID_014</t>
  </si>
  <si>
    <t>MISSING_ID_015</t>
  </si>
  <si>
    <t>Text Cleaning</t>
  </si>
  <si>
    <t>Department Origin</t>
  </si>
  <si>
    <t>TRIM</t>
  </si>
  <si>
    <t>Proper</t>
  </si>
  <si>
    <t>Upper</t>
  </si>
  <si>
    <t>Basic Calculation</t>
  </si>
  <si>
    <t>Total Experance Year</t>
  </si>
  <si>
    <t>Average Interview score</t>
  </si>
  <si>
    <t>Numer of Inteview Scores</t>
  </si>
  <si>
    <t>Lowest Interview Score</t>
  </si>
  <si>
    <t>Highest Interview Score</t>
  </si>
  <si>
    <t>Conditional Functions</t>
  </si>
  <si>
    <t>Total Hired Applicants</t>
  </si>
  <si>
    <t>Total Rejected Applicants</t>
  </si>
  <si>
    <t>Avg  Interview Score Hired</t>
  </si>
  <si>
    <t>Total Interview Scores of Hired Applicants</t>
  </si>
  <si>
    <t>Interview Performance</t>
  </si>
  <si>
    <t>Application Year</t>
  </si>
  <si>
    <t>Application Month</t>
  </si>
  <si>
    <t>Application Day</t>
  </si>
  <si>
    <t>Row Labels</t>
  </si>
  <si>
    <t>Grand Total</t>
  </si>
  <si>
    <t>Column Labels</t>
  </si>
  <si>
    <t>Count of Application_Status</t>
  </si>
  <si>
    <t>Sum of Interview_Score</t>
  </si>
  <si>
    <t>Average of Experience_Years</t>
  </si>
  <si>
    <t>kpi 1</t>
  </si>
  <si>
    <t>Total applicants</t>
  </si>
  <si>
    <t>Hired Applicants</t>
  </si>
  <si>
    <t>Average Experience Year</t>
  </si>
  <si>
    <t>Average Interview Score</t>
  </si>
  <si>
    <t>JOB APPLICANT DATA ANALYTICS DASHBOARD</t>
  </si>
  <si>
    <t>15 blanks</t>
  </si>
  <si>
    <t>Date</t>
  </si>
  <si>
    <t>Average</t>
  </si>
  <si>
    <t>19 Blanks and -9,_</t>
  </si>
  <si>
    <t>Experience Years</t>
  </si>
  <si>
    <t>25 Blanks ,Null,NA,_,-9</t>
  </si>
  <si>
    <t>Education Lavel</t>
  </si>
  <si>
    <t xml:space="preserve">19 Blanks </t>
  </si>
  <si>
    <t>Interview Score</t>
  </si>
  <si>
    <t>18 Blanks ,119,123,_</t>
  </si>
  <si>
    <t>Application Status</t>
  </si>
  <si>
    <t>18 Blanks,NULL</t>
  </si>
  <si>
    <t>Issue ID</t>
  </si>
  <si>
    <t>Data Problem Found</t>
  </si>
  <si>
    <t>Total</t>
  </si>
  <si>
    <t>18 Blanks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</si>
</sst>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yyyy\-mm\-dd"/>
  </numFmts>
  <fonts count="6">
    <font>
      <sz val="11"/>
      <color theme="1"/>
      <name val="Aptos Narrow"/>
      <family val="2"/>
      <scheme val="minor"/>
    </font>
    <font>
      <b/>
      <sz val="11"/>
      <name val="Carlito"/>
    </font>
    <font>
      <b/>
      <sz val="12"/>
      <color theme="1"/>
      <name val="Aptos Narrow"/>
      <family val="2"/>
      <scheme val="minor"/>
    </font>
    <font>
      <b/>
      <sz val="14"/>
      <color theme="1"/>
      <name val="Aptos Narrow"/>
      <family val="2"/>
      <scheme val="minor"/>
    </font>
    <font>
      <sz val="14"/>
      <color theme="1"/>
      <name val="Aptos Narrow"/>
      <family val="2"/>
      <scheme val="minor"/>
    </font>
    <font>
      <b/>
      <sz val="36"/>
      <color theme="0"/>
      <name val="Times New Roman"/>
      <family val="1"/>
    </font>
  </fonts>
  <fills count="9">
    <fill>
      <patternFill patternType="none"/>
    </fill>
    <fill>
      <patternFill patternType="gray125"/>
    </fill>
    <fill>
      <patternFill patternType="solid">
        <fgColor rgb="FFD9EAF7"/>
      </patternFill>
    </fill>
    <fill>
      <patternFill patternType="solid">
        <fgColor theme="3" tint="0.499984740745262"/>
        <bgColor indexed="64"/>
      </patternFill>
    </fill>
    <fill>
      <patternFill patternType="solid">
        <fgColor theme="3" tint="0.89999084444715716"/>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6" tint="0.79998168889431442"/>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xf>
    <xf numFmtId="164" fontId="0" fillId="0" borderId="0" xfId="0" applyNumberFormat="1"/>
    <xf numFmtId="14" fontId="1" fillId="2" borderId="0" xfId="0" applyNumberFormat="1" applyFont="1" applyFill="1" applyAlignment="1">
      <alignment horizontal="center" vertical="center"/>
    </xf>
    <xf numFmtId="14" fontId="0" fillId="0" borderId="0" xfId="0" applyNumberFormat="1"/>
    <xf numFmtId="165" fontId="0" fillId="0" borderId="0" xfId="0" applyNumberFormat="1"/>
    <xf numFmtId="166" fontId="0" fillId="0" borderId="0" xfId="0" applyNumberFormat="1"/>
    <xf numFmtId="0" fontId="0" fillId="0" borderId="0" xfId="0" applyAlignment="1">
      <alignment horizontal="center"/>
    </xf>
    <xf numFmtId="0" fontId="2" fillId="0" borderId="0" xfId="0" applyFon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center"/>
    </xf>
    <xf numFmtId="0" fontId="0" fillId="4" borderId="0" xfId="0" applyFill="1"/>
    <xf numFmtId="0" fontId="2" fillId="4" borderId="0" xfId="0" applyFont="1" applyFill="1"/>
    <xf numFmtId="0" fontId="2" fillId="4" borderId="0" xfId="0" applyFont="1" applyFill="1" applyAlignment="1">
      <alignment horizontal="center"/>
    </xf>
    <xf numFmtId="0" fontId="0" fillId="5" borderId="0" xfId="0" applyFill="1"/>
    <xf numFmtId="0" fontId="0" fillId="6" borderId="0" xfId="0" applyFill="1"/>
    <xf numFmtId="0" fontId="0" fillId="7" borderId="0" xfId="0" applyFill="1"/>
    <xf numFmtId="0" fontId="2" fillId="8" borderId="0" xfId="0" applyFont="1"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xf>
    <xf numFmtId="0" fontId="5" fillId="5" borderId="0" xfId="0" applyFont="1" applyFill="1" applyAlignment="1">
      <alignment horizontal="center" vertical="center"/>
    </xf>
  </cellXfs>
  <cellStyles count="1">
    <cellStyle name="Normal" xfId="0" builtinId="0"/>
  </cellStyles>
  <dxfs count="15">
    <dxf>
      <font>
        <color rgb="FF006100"/>
      </font>
      <fill>
        <patternFill>
          <bgColor rgb="FFC6EFCE"/>
        </patternFill>
      </fill>
    </dxf>
    <dxf>
      <numFmt numFmtId="164" formatCode="0.0"/>
    </dxf>
    <dxf>
      <alignment horizontal="center"/>
    </dxf>
    <dxf>
      <numFmt numFmtId="164" formatCode="0.0"/>
    </dxf>
    <dxf>
      <alignment horizontal="center"/>
    </dxf>
    <dxf>
      <numFmt numFmtId="164" formatCode="0.0"/>
    </dxf>
    <dxf>
      <alignment horizontal="center"/>
    </dxf>
    <dxf>
      <alignment horizontal="center"/>
    </dxf>
    <dxf>
      <numFmt numFmtId="164" formatCode="0.0"/>
    </dxf>
    <dxf>
      <alignment horizontal="center"/>
    </dxf>
    <dxf>
      <numFmt numFmtId="164" formatCode="0.0"/>
    </dxf>
    <dxf>
      <alignment horizontal="center"/>
    </dxf>
    <dxf>
      <alignment horizontal="center"/>
    </dxf>
    <dxf>
      <numFmt numFmtId="164" formatCode="0.0"/>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 Project 1.xlsx]Pivot Tables!PivotTable2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Application Status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Tables'!$C$2:$C$3</c:f>
              <c:strCache>
                <c:ptCount val="1"/>
                <c:pt idx="0">
                  <c:v>Hired</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Tables'!$B$4:$B$6</c:f>
              <c:strCache>
                <c:ptCount val="2"/>
                <c:pt idx="0">
                  <c:v>HR</c:v>
                </c:pt>
                <c:pt idx="1">
                  <c:v>IT</c:v>
                </c:pt>
              </c:strCache>
            </c:strRef>
          </c:cat>
          <c:val>
            <c:numRef>
              <c:f>'Pivot Tables'!$C$4:$C$6</c:f>
              <c:numCache>
                <c:formatCode>General</c:formatCode>
                <c:ptCount val="2"/>
                <c:pt idx="0">
                  <c:v>3</c:v>
                </c:pt>
                <c:pt idx="1">
                  <c:v>3</c:v>
                </c:pt>
              </c:numCache>
            </c:numRef>
          </c:val>
          <c:extLst>
            <c:ext xmlns:c16="http://schemas.microsoft.com/office/drawing/2014/chart" uri="{C3380CC4-5D6E-409C-BE32-E72D297353CC}">
              <c16:uniqueId val="{00000000-F452-406E-852D-51640562F821}"/>
            </c:ext>
          </c:extLst>
        </c:ser>
        <c:ser>
          <c:idx val="1"/>
          <c:order val="1"/>
          <c:tx>
            <c:strRef>
              <c:f>'Pivot Tables'!$D$2:$D$3</c:f>
              <c:strCache>
                <c:ptCount val="1"/>
                <c:pt idx="0">
                  <c:v>Pending</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Tables'!$B$4:$B$6</c:f>
              <c:strCache>
                <c:ptCount val="2"/>
                <c:pt idx="0">
                  <c:v>HR</c:v>
                </c:pt>
                <c:pt idx="1">
                  <c:v>IT</c:v>
                </c:pt>
              </c:strCache>
            </c:strRef>
          </c:cat>
          <c:val>
            <c:numRef>
              <c:f>'Pivot Tables'!$D$4:$D$6</c:f>
              <c:numCache>
                <c:formatCode>General</c:formatCode>
                <c:ptCount val="2"/>
                <c:pt idx="0">
                  <c:v>5</c:v>
                </c:pt>
                <c:pt idx="1">
                  <c:v>2</c:v>
                </c:pt>
              </c:numCache>
            </c:numRef>
          </c:val>
          <c:extLst>
            <c:ext xmlns:c16="http://schemas.microsoft.com/office/drawing/2014/chart" uri="{C3380CC4-5D6E-409C-BE32-E72D297353CC}">
              <c16:uniqueId val="{00000003-D1C5-4C77-9ECA-17902ED00B59}"/>
            </c:ext>
          </c:extLst>
        </c:ser>
        <c:ser>
          <c:idx val="2"/>
          <c:order val="2"/>
          <c:tx>
            <c:strRef>
              <c:f>'Pivot Tables'!$E$2:$E$3</c:f>
              <c:strCache>
                <c:ptCount val="1"/>
                <c:pt idx="0">
                  <c:v>Rejected</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Tables'!$B$4:$B$6</c:f>
              <c:strCache>
                <c:ptCount val="2"/>
                <c:pt idx="0">
                  <c:v>HR</c:v>
                </c:pt>
                <c:pt idx="1">
                  <c:v>IT</c:v>
                </c:pt>
              </c:strCache>
            </c:strRef>
          </c:cat>
          <c:val>
            <c:numRef>
              <c:f>'Pivot Tables'!$E$4:$E$6</c:f>
              <c:numCache>
                <c:formatCode>General</c:formatCode>
                <c:ptCount val="2"/>
                <c:pt idx="0">
                  <c:v>7</c:v>
                </c:pt>
                <c:pt idx="1">
                  <c:v>6</c:v>
                </c:pt>
              </c:numCache>
            </c:numRef>
          </c:val>
          <c:extLst>
            <c:ext xmlns:c16="http://schemas.microsoft.com/office/drawing/2014/chart" uri="{C3380CC4-5D6E-409C-BE32-E72D297353CC}">
              <c16:uniqueId val="{00000004-D1C5-4C77-9ECA-17902ED00B59}"/>
            </c:ext>
          </c:extLst>
        </c:ser>
        <c:ser>
          <c:idx val="3"/>
          <c:order val="3"/>
          <c:tx>
            <c:strRef>
              <c:f>'Pivot Tables'!$F$2:$F$3</c:f>
              <c:strCache>
                <c:ptCount val="1"/>
                <c:pt idx="0">
                  <c:v>Shortlisted</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Tables'!$B$4:$B$6</c:f>
              <c:strCache>
                <c:ptCount val="2"/>
                <c:pt idx="0">
                  <c:v>HR</c:v>
                </c:pt>
                <c:pt idx="1">
                  <c:v>IT</c:v>
                </c:pt>
              </c:strCache>
            </c:strRef>
          </c:cat>
          <c:val>
            <c:numRef>
              <c:f>'Pivot Tables'!$F$4:$F$6</c:f>
              <c:numCache>
                <c:formatCode>General</c:formatCode>
                <c:ptCount val="2"/>
                <c:pt idx="0">
                  <c:v>3</c:v>
                </c:pt>
                <c:pt idx="1">
                  <c:v>4</c:v>
                </c:pt>
              </c:numCache>
            </c:numRef>
          </c:val>
          <c:extLst>
            <c:ext xmlns:c16="http://schemas.microsoft.com/office/drawing/2014/chart" uri="{C3380CC4-5D6E-409C-BE32-E72D297353CC}">
              <c16:uniqueId val="{00000000-90AA-43E5-AB4F-2AE8A96CA933}"/>
            </c:ext>
          </c:extLst>
        </c:ser>
        <c:dLbls>
          <c:dLblPos val="outEnd"/>
          <c:showLegendKey val="0"/>
          <c:showVal val="1"/>
          <c:showCatName val="0"/>
          <c:showSerName val="0"/>
          <c:showPercent val="0"/>
          <c:showBubbleSize val="0"/>
        </c:dLbls>
        <c:gapWidth val="100"/>
        <c:overlap val="-24"/>
        <c:axId val="1800390095"/>
        <c:axId val="1654598703"/>
      </c:barChart>
      <c:catAx>
        <c:axId val="1800390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598703"/>
        <c:crosses val="autoZero"/>
        <c:auto val="1"/>
        <c:lblAlgn val="ctr"/>
        <c:lblOffset val="100"/>
        <c:noMultiLvlLbl val="0"/>
      </c:catAx>
      <c:valAx>
        <c:axId val="1654598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39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 Project 1.xlsx]Pivot Tables!PivotTable3</c:name>
    <c:fmtId val="6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experence years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973070383004142"/>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321208751912493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226731337630547"/>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10722276957015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853561814943763"/>
              <c:y val="-1.1072457683805458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107222769570168"/>
              <c:y val="-1.1072457683805458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614544678822983"/>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Tables'!$F$20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DE0-449E-B8B7-FF9FEBA9C8E8}"/>
              </c:ext>
            </c:extLst>
          </c:dPt>
          <c:dPt>
            <c:idx val="1"/>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E0-449E-B8B7-FF9FEBA9C8E8}"/>
              </c:ext>
            </c:extLst>
          </c:dPt>
          <c:dPt>
            <c:idx val="2"/>
            <c:invertIfNegative val="0"/>
            <c:bubble3D val="0"/>
            <c:extLst>
              <c:ext xmlns:c16="http://schemas.microsoft.com/office/drawing/2014/chart" uri="{C3380CC4-5D6E-409C-BE32-E72D297353CC}">
                <c16:uniqueId val="{00000006-BDE0-449E-B8B7-FF9FEBA9C8E8}"/>
              </c:ext>
            </c:extLst>
          </c:dPt>
          <c:dPt>
            <c:idx val="3"/>
            <c:invertIfNegative val="0"/>
            <c:bubble3D val="0"/>
            <c:extLst>
              <c:ext xmlns:c16="http://schemas.microsoft.com/office/drawing/2014/chart" uri="{C3380CC4-5D6E-409C-BE32-E72D297353CC}">
                <c16:uniqueId val="{00000005-BDE0-449E-B8B7-FF9FEBA9C8E8}"/>
              </c:ext>
            </c:extLst>
          </c:dPt>
          <c:dPt>
            <c:idx val="4"/>
            <c:invertIfNegative val="0"/>
            <c:bubble3D val="0"/>
            <c:extLst>
              <c:ext xmlns:c16="http://schemas.microsoft.com/office/drawing/2014/chart" uri="{C3380CC4-5D6E-409C-BE32-E72D297353CC}">
                <c16:uniqueId val="{00000004-BDE0-449E-B8B7-FF9FEBA9C8E8}"/>
              </c:ext>
            </c:extLst>
          </c:dPt>
          <c:dPt>
            <c:idx val="5"/>
            <c:invertIfNegative val="0"/>
            <c:bubble3D val="0"/>
            <c:extLst>
              <c:ext xmlns:c16="http://schemas.microsoft.com/office/drawing/2014/chart" uri="{C3380CC4-5D6E-409C-BE32-E72D297353CC}">
                <c16:uniqueId val="{00000003-BDE0-449E-B8B7-FF9FEBA9C8E8}"/>
              </c:ext>
            </c:extLst>
          </c:dPt>
          <c:dPt>
            <c:idx val="6"/>
            <c:invertIfNegative val="0"/>
            <c:bubble3D val="0"/>
            <c:extLst>
              <c:ext xmlns:c16="http://schemas.microsoft.com/office/drawing/2014/chart" uri="{C3380CC4-5D6E-409C-BE32-E72D297353CC}">
                <c16:uniqueId val="{00000002-BDE0-449E-B8B7-FF9FEBA9C8E8}"/>
              </c:ext>
            </c:extLst>
          </c:dPt>
          <c:dLbls>
            <c:dLbl>
              <c:idx val="0"/>
              <c:layout>
                <c:manualLayout>
                  <c:x val="0.29853561814943763"/>
                  <c:y val="-1.1072457683805458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DE0-449E-B8B7-FF9FEBA9C8E8}"/>
                </c:ext>
              </c:extLst>
            </c:dLbl>
            <c:dLbl>
              <c:idx val="1"/>
              <c:layout>
                <c:manualLayout>
                  <c:x val="0.2910722276957015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E0-449E-B8B7-FF9FEBA9C8E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Tables'!$E$21:$E$23</c:f>
              <c:strCache>
                <c:ptCount val="2"/>
                <c:pt idx="0">
                  <c:v>HR</c:v>
                </c:pt>
                <c:pt idx="1">
                  <c:v>IT</c:v>
                </c:pt>
              </c:strCache>
            </c:strRef>
          </c:cat>
          <c:val>
            <c:numRef>
              <c:f>'Pivot Tables'!$F$21:$F$23</c:f>
              <c:numCache>
                <c:formatCode>0.0</c:formatCode>
                <c:ptCount val="2"/>
                <c:pt idx="0">
                  <c:v>8.1666666666666661</c:v>
                </c:pt>
                <c:pt idx="1">
                  <c:v>7.1333333333333337</c:v>
                </c:pt>
              </c:numCache>
            </c:numRef>
          </c:val>
          <c:extLst>
            <c:ext xmlns:c16="http://schemas.microsoft.com/office/drawing/2014/chart" uri="{C3380CC4-5D6E-409C-BE32-E72D297353CC}">
              <c16:uniqueId val="{00000000-BDE0-449E-B8B7-FF9FEBA9C8E8}"/>
            </c:ext>
          </c:extLst>
        </c:ser>
        <c:dLbls>
          <c:dLblPos val="ctr"/>
          <c:showLegendKey val="0"/>
          <c:showVal val="1"/>
          <c:showCatName val="0"/>
          <c:showSerName val="0"/>
          <c:showPercent val="0"/>
          <c:showBubbleSize val="0"/>
        </c:dLbls>
        <c:gapWidth val="150"/>
        <c:overlap val="100"/>
        <c:axId val="1916101743"/>
        <c:axId val="1803443567"/>
      </c:barChart>
      <c:catAx>
        <c:axId val="1916101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3443567"/>
        <c:crosses val="autoZero"/>
        <c:auto val="1"/>
        <c:lblAlgn val="ctr"/>
        <c:lblOffset val="100"/>
        <c:noMultiLvlLbl val="0"/>
      </c:catAx>
      <c:valAx>
        <c:axId val="1803443567"/>
        <c:scaling>
          <c:orientation val="minMax"/>
        </c:scaling>
        <c:delete val="0"/>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10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 Project 1.xlsx]Pivot Tables!PivotTable4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Discription of Applicatiion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8000"/>
            </a:schemeClr>
          </a:solidFill>
          <a:ln>
            <a:noFill/>
          </a:ln>
          <a:effectLst>
            <a:outerShdw blurRad="254000" sx="102000" sy="102000" algn="ctr" rotWithShape="0">
              <a:prstClr val="black">
                <a:alpha val="20000"/>
              </a:prstClr>
            </a:outerShdw>
          </a:effectLst>
          <a:sp3d/>
        </c:spPr>
      </c:pivotFmt>
      <c:pivotFmt>
        <c:idx val="2"/>
        <c:spPr>
          <a:solidFill>
            <a:schemeClr val="accent5">
              <a:shade val="86000"/>
            </a:schemeClr>
          </a:solidFill>
          <a:ln>
            <a:noFill/>
          </a:ln>
          <a:effectLst>
            <a:outerShdw blurRad="254000" sx="102000" sy="102000" algn="ctr" rotWithShape="0">
              <a:prstClr val="black">
                <a:alpha val="20000"/>
              </a:prstClr>
            </a:outerShdw>
          </a:effectLst>
          <a:sp3d/>
        </c:spPr>
      </c:pivotFmt>
      <c:pivotFmt>
        <c:idx val="3"/>
        <c:spPr>
          <a:solidFill>
            <a:schemeClr val="accent5">
              <a:tint val="86000"/>
            </a:schemeClr>
          </a:solidFill>
          <a:ln>
            <a:noFill/>
          </a:ln>
          <a:effectLst>
            <a:outerShdw blurRad="254000" sx="102000" sy="102000" algn="ctr" rotWithShape="0">
              <a:prstClr val="black">
                <a:alpha val="20000"/>
              </a:prstClr>
            </a:outerShdw>
          </a:effectLst>
          <a:sp3d/>
        </c:spPr>
      </c:pivotFmt>
      <c:pivotFmt>
        <c:idx val="4"/>
        <c:spPr>
          <a:solidFill>
            <a:schemeClr val="accent5">
              <a:tint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Tables'!$F$13</c:f>
              <c:strCache>
                <c:ptCount val="1"/>
                <c:pt idx="0">
                  <c:v>Total</c:v>
                </c:pt>
              </c:strCache>
            </c:strRef>
          </c:tx>
          <c:dPt>
            <c:idx val="0"/>
            <c:bubble3D val="0"/>
            <c:spPr>
              <a:solidFill>
                <a:schemeClr val="accent5">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AE4E-41F3-8D35-104B6063DBC4}"/>
              </c:ext>
            </c:extLst>
          </c:dPt>
          <c:dPt>
            <c:idx val="1"/>
            <c:bubble3D val="0"/>
            <c:spPr>
              <a:solidFill>
                <a:schemeClr val="accent5">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AE4E-41F3-8D35-104B6063DBC4}"/>
              </c:ext>
            </c:extLst>
          </c:dPt>
          <c:dPt>
            <c:idx val="2"/>
            <c:bubble3D val="0"/>
            <c:spPr>
              <a:solidFill>
                <a:schemeClr val="accent5">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AE4E-41F3-8D35-104B6063DBC4}"/>
              </c:ext>
            </c:extLst>
          </c:dPt>
          <c:dPt>
            <c:idx val="3"/>
            <c:bubble3D val="0"/>
            <c:spPr>
              <a:solidFill>
                <a:schemeClr val="accent5">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AE4E-41F3-8D35-104B6063DBC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Tables'!$E$14:$E$18</c:f>
              <c:strCache>
                <c:ptCount val="4"/>
                <c:pt idx="0">
                  <c:v>Hired</c:v>
                </c:pt>
                <c:pt idx="1">
                  <c:v>Pending</c:v>
                </c:pt>
                <c:pt idx="2">
                  <c:v>Rejected</c:v>
                </c:pt>
                <c:pt idx="3">
                  <c:v>Shortlisted</c:v>
                </c:pt>
              </c:strCache>
            </c:strRef>
          </c:cat>
          <c:val>
            <c:numRef>
              <c:f>'Pivot Tables'!$F$14:$F$18</c:f>
              <c:numCache>
                <c:formatCode>0.0</c:formatCode>
                <c:ptCount val="4"/>
                <c:pt idx="0">
                  <c:v>6</c:v>
                </c:pt>
                <c:pt idx="1">
                  <c:v>7</c:v>
                </c:pt>
                <c:pt idx="2">
                  <c:v>13</c:v>
                </c:pt>
                <c:pt idx="3">
                  <c:v>7</c:v>
                </c:pt>
              </c:numCache>
            </c:numRef>
          </c:val>
          <c:extLst>
            <c:ext xmlns:c16="http://schemas.microsoft.com/office/drawing/2014/chart" uri="{C3380CC4-5D6E-409C-BE32-E72D297353CC}">
              <c16:uniqueId val="{00000000-2B2D-469E-8268-0C0CD96CD3B7}"/>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8068941382327206"/>
          <c:y val="0.3691422426363371"/>
          <c:w val="0.20264391951006125"/>
          <c:h val="0.3587984835228929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 Project 1.xlsx]Pivot Tables!PivotTable5</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solidFill>
                  <a:schemeClr val="bg1"/>
                </a:solidFill>
              </a:rPr>
              <a:t>Total Interview Score by Department</a:t>
            </a:r>
          </a:p>
        </c:rich>
      </c:tx>
      <c:overlay val="0"/>
      <c:spPr>
        <a:solidFill>
          <a:schemeClr val="accent1"/>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Tables'!$C$13</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Tables'!$B$14:$B$16</c:f>
              <c:strCache>
                <c:ptCount val="2"/>
                <c:pt idx="0">
                  <c:v>HR</c:v>
                </c:pt>
                <c:pt idx="1">
                  <c:v>IT</c:v>
                </c:pt>
              </c:strCache>
            </c:strRef>
          </c:cat>
          <c:val>
            <c:numRef>
              <c:f>'Pivot Tables'!$C$14:$C$16</c:f>
              <c:numCache>
                <c:formatCode>0.0</c:formatCode>
                <c:ptCount val="2"/>
                <c:pt idx="0">
                  <c:v>1266.3999999999999</c:v>
                </c:pt>
                <c:pt idx="1">
                  <c:v>1086.3999999999999</c:v>
                </c:pt>
              </c:numCache>
            </c:numRef>
          </c:val>
          <c:extLst>
            <c:ext xmlns:c16="http://schemas.microsoft.com/office/drawing/2014/chart" uri="{C3380CC4-5D6E-409C-BE32-E72D297353CC}">
              <c16:uniqueId val="{00000000-4122-498D-9B19-F5EA5BCC9691}"/>
            </c:ext>
          </c:extLst>
        </c:ser>
        <c:dLbls>
          <c:showLegendKey val="0"/>
          <c:showVal val="1"/>
          <c:showCatName val="0"/>
          <c:showSerName val="0"/>
          <c:showPercent val="0"/>
          <c:showBubbleSize val="0"/>
        </c:dLbls>
        <c:gapWidth val="65"/>
        <c:shape val="box"/>
        <c:axId val="1916150463"/>
        <c:axId val="1803460367"/>
        <c:axId val="1914689071"/>
      </c:bar3DChart>
      <c:catAx>
        <c:axId val="1916150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03460367"/>
        <c:crosses val="autoZero"/>
        <c:auto val="1"/>
        <c:lblAlgn val="ctr"/>
        <c:lblOffset val="100"/>
        <c:noMultiLvlLbl val="0"/>
      </c:catAx>
      <c:valAx>
        <c:axId val="1803460367"/>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6150463"/>
        <c:crosses val="autoZero"/>
        <c:crossBetween val="between"/>
      </c:valAx>
      <c:serAx>
        <c:axId val="1914689071"/>
        <c:scaling>
          <c:orientation val="minMax"/>
        </c:scaling>
        <c:delete val="1"/>
        <c:axPos val="b"/>
        <c:majorTickMark val="none"/>
        <c:minorTickMark val="none"/>
        <c:tickLblPos val="nextTo"/>
        <c:crossAx val="18034603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 Project 1.xlsx]Pivot Tables!PivotTable2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Application Status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Tables'!$C$2:$C$3</c:f>
              <c:strCache>
                <c:ptCount val="1"/>
                <c:pt idx="0">
                  <c:v>Hired</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Tables'!$B$4:$B$6</c:f>
              <c:strCache>
                <c:ptCount val="2"/>
                <c:pt idx="0">
                  <c:v>HR</c:v>
                </c:pt>
                <c:pt idx="1">
                  <c:v>IT</c:v>
                </c:pt>
              </c:strCache>
            </c:strRef>
          </c:cat>
          <c:val>
            <c:numRef>
              <c:f>'Pivot Tables'!$C$4:$C$6</c:f>
              <c:numCache>
                <c:formatCode>General</c:formatCode>
                <c:ptCount val="2"/>
                <c:pt idx="0">
                  <c:v>3</c:v>
                </c:pt>
                <c:pt idx="1">
                  <c:v>3</c:v>
                </c:pt>
              </c:numCache>
            </c:numRef>
          </c:val>
          <c:extLst>
            <c:ext xmlns:c16="http://schemas.microsoft.com/office/drawing/2014/chart" uri="{C3380CC4-5D6E-409C-BE32-E72D297353CC}">
              <c16:uniqueId val="{00000000-9553-4B20-9579-D90B7AC0E7FC}"/>
            </c:ext>
          </c:extLst>
        </c:ser>
        <c:ser>
          <c:idx val="1"/>
          <c:order val="1"/>
          <c:tx>
            <c:strRef>
              <c:f>'Pivot Tables'!$D$2:$D$3</c:f>
              <c:strCache>
                <c:ptCount val="1"/>
                <c:pt idx="0">
                  <c:v>Pending</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Tables'!$B$4:$B$6</c:f>
              <c:strCache>
                <c:ptCount val="2"/>
                <c:pt idx="0">
                  <c:v>HR</c:v>
                </c:pt>
                <c:pt idx="1">
                  <c:v>IT</c:v>
                </c:pt>
              </c:strCache>
            </c:strRef>
          </c:cat>
          <c:val>
            <c:numRef>
              <c:f>'Pivot Tables'!$D$4:$D$6</c:f>
              <c:numCache>
                <c:formatCode>General</c:formatCode>
                <c:ptCount val="2"/>
                <c:pt idx="0">
                  <c:v>5</c:v>
                </c:pt>
                <c:pt idx="1">
                  <c:v>2</c:v>
                </c:pt>
              </c:numCache>
            </c:numRef>
          </c:val>
          <c:extLst>
            <c:ext xmlns:c16="http://schemas.microsoft.com/office/drawing/2014/chart" uri="{C3380CC4-5D6E-409C-BE32-E72D297353CC}">
              <c16:uniqueId val="{00000001-9553-4B20-9579-D90B7AC0E7FC}"/>
            </c:ext>
          </c:extLst>
        </c:ser>
        <c:ser>
          <c:idx val="2"/>
          <c:order val="2"/>
          <c:tx>
            <c:strRef>
              <c:f>'Pivot Tables'!$E$2:$E$3</c:f>
              <c:strCache>
                <c:ptCount val="1"/>
                <c:pt idx="0">
                  <c:v>Rejected</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Tables'!$B$4:$B$6</c:f>
              <c:strCache>
                <c:ptCount val="2"/>
                <c:pt idx="0">
                  <c:v>HR</c:v>
                </c:pt>
                <c:pt idx="1">
                  <c:v>IT</c:v>
                </c:pt>
              </c:strCache>
            </c:strRef>
          </c:cat>
          <c:val>
            <c:numRef>
              <c:f>'Pivot Tables'!$E$4:$E$6</c:f>
              <c:numCache>
                <c:formatCode>General</c:formatCode>
                <c:ptCount val="2"/>
                <c:pt idx="0">
                  <c:v>7</c:v>
                </c:pt>
                <c:pt idx="1">
                  <c:v>6</c:v>
                </c:pt>
              </c:numCache>
            </c:numRef>
          </c:val>
          <c:extLst>
            <c:ext xmlns:c16="http://schemas.microsoft.com/office/drawing/2014/chart" uri="{C3380CC4-5D6E-409C-BE32-E72D297353CC}">
              <c16:uniqueId val="{00000002-9553-4B20-9579-D90B7AC0E7FC}"/>
            </c:ext>
          </c:extLst>
        </c:ser>
        <c:ser>
          <c:idx val="3"/>
          <c:order val="3"/>
          <c:tx>
            <c:strRef>
              <c:f>'Pivot Tables'!$F$2:$F$3</c:f>
              <c:strCache>
                <c:ptCount val="1"/>
                <c:pt idx="0">
                  <c:v>Shortlisted</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Tables'!$B$4:$B$6</c:f>
              <c:strCache>
                <c:ptCount val="2"/>
                <c:pt idx="0">
                  <c:v>HR</c:v>
                </c:pt>
                <c:pt idx="1">
                  <c:v>IT</c:v>
                </c:pt>
              </c:strCache>
            </c:strRef>
          </c:cat>
          <c:val>
            <c:numRef>
              <c:f>'Pivot Tables'!$F$4:$F$6</c:f>
              <c:numCache>
                <c:formatCode>General</c:formatCode>
                <c:ptCount val="2"/>
                <c:pt idx="0">
                  <c:v>3</c:v>
                </c:pt>
                <c:pt idx="1">
                  <c:v>4</c:v>
                </c:pt>
              </c:numCache>
            </c:numRef>
          </c:val>
          <c:extLst>
            <c:ext xmlns:c16="http://schemas.microsoft.com/office/drawing/2014/chart" uri="{C3380CC4-5D6E-409C-BE32-E72D297353CC}">
              <c16:uniqueId val="{00000001-79F4-4D0D-B1B8-55CEF141F560}"/>
            </c:ext>
          </c:extLst>
        </c:ser>
        <c:dLbls>
          <c:dLblPos val="outEnd"/>
          <c:showLegendKey val="0"/>
          <c:showVal val="1"/>
          <c:showCatName val="0"/>
          <c:showSerName val="0"/>
          <c:showPercent val="0"/>
          <c:showBubbleSize val="0"/>
        </c:dLbls>
        <c:gapWidth val="100"/>
        <c:overlap val="-24"/>
        <c:axId val="1800390095"/>
        <c:axId val="1654598703"/>
      </c:barChart>
      <c:catAx>
        <c:axId val="18003900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598703"/>
        <c:crosses val="autoZero"/>
        <c:auto val="1"/>
        <c:lblAlgn val="ctr"/>
        <c:lblOffset val="100"/>
        <c:noMultiLvlLbl val="0"/>
      </c:catAx>
      <c:valAx>
        <c:axId val="16545987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039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 Project 1.xlsx]Pivot Tables!PivotTable3</c:name>
    <c:fmtId val="7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experence years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973070383004142"/>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321208751912493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226731337630547"/>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10722276957015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853561814943763"/>
              <c:y val="-1.1072457683805458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107222769570168"/>
              <c:y val="-1.1072457683805458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614544678822983"/>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614544678822983"/>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107222769570168"/>
              <c:y val="-1.1072457683805458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853561814943763"/>
              <c:y val="-1.1072457683805458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10722276957015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226731337630547"/>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321208751912493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973070383004142"/>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7614544678822983"/>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107222769570168"/>
              <c:y val="-1.1072457683805458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853561814943763"/>
              <c:y val="-1.1072457683805458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910722276957015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226731337630547"/>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3212087519124939"/>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973070383004142"/>
              <c:y val="-6.039592142062620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Tables'!$F$20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81-4B17-85D9-83F9EE6BC93D}"/>
              </c:ext>
            </c:extLst>
          </c:dPt>
          <c:dPt>
            <c:idx val="1"/>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B81-4B17-85D9-83F9EE6BC93D}"/>
              </c:ext>
            </c:extLst>
          </c:dPt>
          <c:dPt>
            <c:idx val="2"/>
            <c:invertIfNegative val="0"/>
            <c:bubble3D val="0"/>
            <c:extLst>
              <c:ext xmlns:c16="http://schemas.microsoft.com/office/drawing/2014/chart" uri="{C3380CC4-5D6E-409C-BE32-E72D297353CC}">
                <c16:uniqueId val="{00000005-0B81-4B17-85D9-83F9EE6BC93D}"/>
              </c:ext>
            </c:extLst>
          </c:dPt>
          <c:dPt>
            <c:idx val="3"/>
            <c:invertIfNegative val="0"/>
            <c:bubble3D val="0"/>
            <c:extLst>
              <c:ext xmlns:c16="http://schemas.microsoft.com/office/drawing/2014/chart" uri="{C3380CC4-5D6E-409C-BE32-E72D297353CC}">
                <c16:uniqueId val="{00000007-0B81-4B17-85D9-83F9EE6BC93D}"/>
              </c:ext>
            </c:extLst>
          </c:dPt>
          <c:dPt>
            <c:idx val="4"/>
            <c:invertIfNegative val="0"/>
            <c:bubble3D val="0"/>
            <c:extLst>
              <c:ext xmlns:c16="http://schemas.microsoft.com/office/drawing/2014/chart" uri="{C3380CC4-5D6E-409C-BE32-E72D297353CC}">
                <c16:uniqueId val="{00000009-0B81-4B17-85D9-83F9EE6BC93D}"/>
              </c:ext>
            </c:extLst>
          </c:dPt>
          <c:dPt>
            <c:idx val="5"/>
            <c:invertIfNegative val="0"/>
            <c:bubble3D val="0"/>
            <c:extLst>
              <c:ext xmlns:c16="http://schemas.microsoft.com/office/drawing/2014/chart" uri="{C3380CC4-5D6E-409C-BE32-E72D297353CC}">
                <c16:uniqueId val="{0000000B-0B81-4B17-85D9-83F9EE6BC93D}"/>
              </c:ext>
            </c:extLst>
          </c:dPt>
          <c:dPt>
            <c:idx val="6"/>
            <c:invertIfNegative val="0"/>
            <c:bubble3D val="0"/>
            <c:extLst>
              <c:ext xmlns:c16="http://schemas.microsoft.com/office/drawing/2014/chart" uri="{C3380CC4-5D6E-409C-BE32-E72D297353CC}">
                <c16:uniqueId val="{0000000D-0B81-4B17-85D9-83F9EE6BC93D}"/>
              </c:ext>
            </c:extLst>
          </c:dPt>
          <c:dLbls>
            <c:dLbl>
              <c:idx val="0"/>
              <c:layout>
                <c:manualLayout>
                  <c:x val="0.29853561814943763"/>
                  <c:y val="-1.1072457683805458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81-4B17-85D9-83F9EE6BC93D}"/>
                </c:ext>
              </c:extLst>
            </c:dLbl>
            <c:dLbl>
              <c:idx val="1"/>
              <c:layout>
                <c:manualLayout>
                  <c:x val="0.2910722276957015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81-4B17-85D9-83F9EE6BC93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Tables'!$E$21:$E$23</c:f>
              <c:strCache>
                <c:ptCount val="2"/>
                <c:pt idx="0">
                  <c:v>HR</c:v>
                </c:pt>
                <c:pt idx="1">
                  <c:v>IT</c:v>
                </c:pt>
              </c:strCache>
            </c:strRef>
          </c:cat>
          <c:val>
            <c:numRef>
              <c:f>'Pivot Tables'!$F$21:$F$23</c:f>
              <c:numCache>
                <c:formatCode>0.0</c:formatCode>
                <c:ptCount val="2"/>
                <c:pt idx="0">
                  <c:v>8.1666666666666661</c:v>
                </c:pt>
                <c:pt idx="1">
                  <c:v>7.1333333333333337</c:v>
                </c:pt>
              </c:numCache>
            </c:numRef>
          </c:val>
          <c:extLst>
            <c:ext xmlns:c16="http://schemas.microsoft.com/office/drawing/2014/chart" uri="{C3380CC4-5D6E-409C-BE32-E72D297353CC}">
              <c16:uniqueId val="{0000000E-0B81-4B17-85D9-83F9EE6BC93D}"/>
            </c:ext>
          </c:extLst>
        </c:ser>
        <c:dLbls>
          <c:dLblPos val="ctr"/>
          <c:showLegendKey val="0"/>
          <c:showVal val="1"/>
          <c:showCatName val="0"/>
          <c:showSerName val="0"/>
          <c:showPercent val="0"/>
          <c:showBubbleSize val="0"/>
        </c:dLbls>
        <c:gapWidth val="150"/>
        <c:overlap val="100"/>
        <c:axId val="1916101743"/>
        <c:axId val="1803443567"/>
      </c:barChart>
      <c:catAx>
        <c:axId val="1916101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3443567"/>
        <c:crosses val="autoZero"/>
        <c:auto val="1"/>
        <c:lblAlgn val="ctr"/>
        <c:lblOffset val="100"/>
        <c:noMultiLvlLbl val="0"/>
      </c:catAx>
      <c:valAx>
        <c:axId val="1803443567"/>
        <c:scaling>
          <c:orientation val="minMax"/>
        </c:scaling>
        <c:delete val="0"/>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610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 Project 1.xlsx]Pivot Tables!PivotTable5</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b="1" i="0" u="none" strike="noStrike" kern="1200" baseline="0">
                <a:solidFill>
                  <a:schemeClr val="bg1"/>
                </a:solidFill>
              </a:rPr>
              <a:t>Total Interview Score by Department</a:t>
            </a: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Tables'!$C$13</c:f>
              <c:strCache>
                <c:ptCount val="1"/>
                <c:pt idx="0">
                  <c:v>Total</c:v>
                </c:pt>
              </c:strCache>
            </c:strRef>
          </c:tx>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Tables'!$B$14:$B$16</c:f>
              <c:strCache>
                <c:ptCount val="2"/>
                <c:pt idx="0">
                  <c:v>HR</c:v>
                </c:pt>
                <c:pt idx="1">
                  <c:v>IT</c:v>
                </c:pt>
              </c:strCache>
            </c:strRef>
          </c:cat>
          <c:val>
            <c:numRef>
              <c:f>'Pivot Tables'!$C$14:$C$16</c:f>
              <c:numCache>
                <c:formatCode>0.0</c:formatCode>
                <c:ptCount val="2"/>
                <c:pt idx="0">
                  <c:v>1266.3999999999999</c:v>
                </c:pt>
                <c:pt idx="1">
                  <c:v>1086.3999999999999</c:v>
                </c:pt>
              </c:numCache>
            </c:numRef>
          </c:val>
          <c:extLst>
            <c:ext xmlns:c16="http://schemas.microsoft.com/office/drawing/2014/chart" uri="{C3380CC4-5D6E-409C-BE32-E72D297353CC}">
              <c16:uniqueId val="{00000000-9D6A-405A-B431-557E383EA133}"/>
            </c:ext>
          </c:extLst>
        </c:ser>
        <c:dLbls>
          <c:showLegendKey val="0"/>
          <c:showVal val="1"/>
          <c:showCatName val="0"/>
          <c:showSerName val="0"/>
          <c:showPercent val="0"/>
          <c:showBubbleSize val="0"/>
        </c:dLbls>
        <c:gapWidth val="65"/>
        <c:shape val="box"/>
        <c:axId val="1916150463"/>
        <c:axId val="1803460367"/>
        <c:axId val="1914689071"/>
      </c:bar3DChart>
      <c:catAx>
        <c:axId val="19161504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03460367"/>
        <c:crosses val="autoZero"/>
        <c:auto val="1"/>
        <c:lblAlgn val="ctr"/>
        <c:lblOffset val="100"/>
        <c:noMultiLvlLbl val="0"/>
      </c:catAx>
      <c:valAx>
        <c:axId val="1803460367"/>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6150463"/>
        <c:crosses val="autoZero"/>
        <c:crossBetween val="between"/>
      </c:valAx>
      <c:serAx>
        <c:axId val="1914689071"/>
        <c:scaling>
          <c:orientation val="minMax"/>
        </c:scaling>
        <c:delete val="1"/>
        <c:axPos val="b"/>
        <c:majorTickMark val="none"/>
        <c:minorTickMark val="none"/>
        <c:tickLblPos val="nextTo"/>
        <c:crossAx val="18034603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[MY Project 1.xlsx]Pivot Tables!PivotTable4</c:name>
    <c:fmtId val="1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Discription of Applicatiion Status</a:t>
            </a:r>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8000"/>
            </a:schemeClr>
          </a:solidFill>
          <a:ln>
            <a:noFill/>
          </a:ln>
          <a:effectLst>
            <a:outerShdw blurRad="254000" sx="102000" sy="102000" algn="ctr" rotWithShape="0">
              <a:prstClr val="black">
                <a:alpha val="20000"/>
              </a:prstClr>
            </a:outerShdw>
          </a:effectLst>
          <a:sp3d/>
        </c:spPr>
      </c:pivotFmt>
      <c:pivotFmt>
        <c:idx val="2"/>
        <c:spPr>
          <a:solidFill>
            <a:schemeClr val="accent5">
              <a:shade val="86000"/>
            </a:schemeClr>
          </a:solidFill>
          <a:ln>
            <a:noFill/>
          </a:ln>
          <a:effectLst>
            <a:outerShdw blurRad="254000" sx="102000" sy="102000" algn="ctr" rotWithShape="0">
              <a:prstClr val="black">
                <a:alpha val="20000"/>
              </a:prstClr>
            </a:outerShdw>
          </a:effectLst>
          <a:sp3d/>
        </c:spPr>
      </c:pivotFmt>
      <c:pivotFmt>
        <c:idx val="3"/>
        <c:spPr>
          <a:solidFill>
            <a:schemeClr val="accent5">
              <a:tint val="86000"/>
            </a:schemeClr>
          </a:solidFill>
          <a:ln>
            <a:noFill/>
          </a:ln>
          <a:effectLst>
            <a:outerShdw blurRad="254000" sx="102000" sy="102000" algn="ctr" rotWithShape="0">
              <a:prstClr val="black">
                <a:alpha val="20000"/>
              </a:prstClr>
            </a:outerShdw>
          </a:effectLst>
          <a:sp3d/>
        </c:spPr>
      </c:pivotFmt>
      <c:pivotFmt>
        <c:idx val="4"/>
        <c:spPr>
          <a:solidFill>
            <a:schemeClr val="accent5">
              <a:tint val="58000"/>
            </a:schemeClr>
          </a:solidFill>
          <a:ln>
            <a:noFill/>
          </a:ln>
          <a:effectLst>
            <a:outerShdw blurRad="254000" sx="102000" sy="102000" algn="ctr" rotWithShape="0">
              <a:prstClr val="black">
                <a:alpha val="20000"/>
              </a:prstClr>
            </a:outerShdw>
          </a:effectLst>
          <a:sp3d/>
        </c:spPr>
      </c:pivotFmt>
      <c:pivotFmt>
        <c:idx val="5"/>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58000"/>
            </a:schemeClr>
          </a:solidFill>
          <a:ln>
            <a:noFill/>
          </a:ln>
          <a:effectLst>
            <a:outerShdw blurRad="254000" sx="102000" sy="102000" algn="ctr" rotWithShape="0">
              <a:prstClr val="black">
                <a:alpha val="20000"/>
              </a:prstClr>
            </a:outerShdw>
          </a:effectLst>
          <a:sp3d/>
        </c:spPr>
      </c:pivotFmt>
      <c:pivotFmt>
        <c:idx val="7"/>
        <c:spPr>
          <a:solidFill>
            <a:schemeClr val="accent5">
              <a:shade val="86000"/>
            </a:schemeClr>
          </a:solidFill>
          <a:ln>
            <a:noFill/>
          </a:ln>
          <a:effectLst>
            <a:outerShdw blurRad="254000" sx="102000" sy="102000" algn="ctr" rotWithShape="0">
              <a:prstClr val="black">
                <a:alpha val="20000"/>
              </a:prstClr>
            </a:outerShdw>
          </a:effectLst>
          <a:sp3d/>
        </c:spPr>
      </c:pivotFmt>
      <c:pivotFmt>
        <c:idx val="8"/>
        <c:spPr>
          <a:solidFill>
            <a:schemeClr val="accent5">
              <a:tint val="86000"/>
            </a:schemeClr>
          </a:solidFill>
          <a:ln>
            <a:noFill/>
          </a:ln>
          <a:effectLst>
            <a:outerShdw blurRad="254000" sx="102000" sy="102000" algn="ctr" rotWithShape="0">
              <a:prstClr val="black">
                <a:alpha val="20000"/>
              </a:prstClr>
            </a:outerShdw>
          </a:effectLst>
          <a:sp3d/>
        </c:spPr>
      </c:pivotFmt>
      <c:pivotFmt>
        <c:idx val="9"/>
        <c:spPr>
          <a:solidFill>
            <a:schemeClr val="accent5">
              <a:tint val="58000"/>
            </a:schemeClr>
          </a:solidFill>
          <a:ln>
            <a:noFill/>
          </a:ln>
          <a:effectLst>
            <a:outerShdw blurRad="254000" sx="102000" sy="102000" algn="ctr" rotWithShape="0">
              <a:prstClr val="black">
                <a:alpha val="20000"/>
              </a:prstClr>
            </a:outerShdw>
          </a:effectLst>
          <a:sp3d/>
        </c:spPr>
      </c:pivotFmt>
      <c:pivotFmt>
        <c:idx val="10"/>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shade val="58000"/>
            </a:schemeClr>
          </a:solidFill>
          <a:ln>
            <a:noFill/>
          </a:ln>
          <a:effectLst>
            <a:outerShdw blurRad="254000" sx="102000" sy="102000" algn="ctr" rotWithShape="0">
              <a:prstClr val="black">
                <a:alpha val="20000"/>
              </a:prstClr>
            </a:outerShdw>
          </a:effectLst>
          <a:sp3d/>
        </c:spPr>
      </c:pivotFmt>
      <c:pivotFmt>
        <c:idx val="12"/>
        <c:spPr>
          <a:solidFill>
            <a:schemeClr val="accent5">
              <a:shade val="86000"/>
            </a:schemeClr>
          </a:solidFill>
          <a:ln>
            <a:noFill/>
          </a:ln>
          <a:effectLst>
            <a:outerShdw blurRad="254000" sx="102000" sy="102000" algn="ctr" rotWithShape="0">
              <a:prstClr val="black">
                <a:alpha val="20000"/>
              </a:prstClr>
            </a:outerShdw>
          </a:effectLst>
          <a:sp3d/>
        </c:spPr>
      </c:pivotFmt>
      <c:pivotFmt>
        <c:idx val="13"/>
        <c:spPr>
          <a:solidFill>
            <a:schemeClr val="accent5">
              <a:tint val="86000"/>
            </a:schemeClr>
          </a:solidFill>
          <a:ln>
            <a:noFill/>
          </a:ln>
          <a:effectLst>
            <a:outerShdw blurRad="254000" sx="102000" sy="102000" algn="ctr" rotWithShape="0">
              <a:prstClr val="black">
                <a:alpha val="20000"/>
              </a:prstClr>
            </a:outerShdw>
          </a:effectLst>
          <a:sp3d/>
        </c:spPr>
      </c:pivotFmt>
      <c:pivotFmt>
        <c:idx val="14"/>
        <c:spPr>
          <a:solidFill>
            <a:schemeClr val="accent5">
              <a:tint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Tables'!$F$13</c:f>
              <c:strCache>
                <c:ptCount val="1"/>
                <c:pt idx="0">
                  <c:v>Total</c:v>
                </c:pt>
              </c:strCache>
            </c:strRef>
          </c:tx>
          <c:dPt>
            <c:idx val="0"/>
            <c:bubble3D val="0"/>
            <c:spPr>
              <a:solidFill>
                <a:schemeClr val="accent5">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490-47BB-AA09-D05215C7DB59}"/>
              </c:ext>
            </c:extLst>
          </c:dPt>
          <c:dPt>
            <c:idx val="1"/>
            <c:bubble3D val="0"/>
            <c:spPr>
              <a:solidFill>
                <a:schemeClr val="accent5">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490-47BB-AA09-D05215C7DB59}"/>
              </c:ext>
            </c:extLst>
          </c:dPt>
          <c:dPt>
            <c:idx val="2"/>
            <c:bubble3D val="0"/>
            <c:spPr>
              <a:solidFill>
                <a:schemeClr val="accent5">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490-47BB-AA09-D05215C7DB59}"/>
              </c:ext>
            </c:extLst>
          </c:dPt>
          <c:dPt>
            <c:idx val="3"/>
            <c:bubble3D val="0"/>
            <c:spPr>
              <a:solidFill>
                <a:schemeClr val="accent5">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490-47BB-AA09-D05215C7DB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Tables'!$E$14:$E$18</c:f>
              <c:strCache>
                <c:ptCount val="4"/>
                <c:pt idx="0">
                  <c:v>Hired</c:v>
                </c:pt>
                <c:pt idx="1">
                  <c:v>Pending</c:v>
                </c:pt>
                <c:pt idx="2">
                  <c:v>Rejected</c:v>
                </c:pt>
                <c:pt idx="3">
                  <c:v>Shortlisted</c:v>
                </c:pt>
              </c:strCache>
            </c:strRef>
          </c:cat>
          <c:val>
            <c:numRef>
              <c:f>'Pivot Tables'!$F$14:$F$18</c:f>
              <c:numCache>
                <c:formatCode>0.0</c:formatCode>
                <c:ptCount val="4"/>
                <c:pt idx="0">
                  <c:v>6</c:v>
                </c:pt>
                <c:pt idx="1">
                  <c:v>7</c:v>
                </c:pt>
                <c:pt idx="2">
                  <c:v>13</c:v>
                </c:pt>
                <c:pt idx="3">
                  <c:v>7</c:v>
                </c:pt>
              </c:numCache>
            </c:numRef>
          </c:val>
          <c:extLst>
            <c:ext xmlns:c16="http://schemas.microsoft.com/office/drawing/2014/chart" uri="{C3380CC4-5D6E-409C-BE32-E72D297353CC}">
              <c16:uniqueId val="{00000008-B490-47BB-AA09-D05215C7DB59}"/>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8068941382327206"/>
          <c:y val="0.3691422426363371"/>
          <c:w val="0.20264391951006125"/>
          <c:h val="0.3587984835228929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11661</xdr:colOff>
      <xdr:row>1</xdr:row>
      <xdr:rowOff>7966</xdr:rowOff>
    </xdr:from>
    <xdr:to>
      <xdr:col>9</xdr:col>
      <xdr:colOff>174039</xdr:colOff>
      <xdr:row>10</xdr:row>
      <xdr:rowOff>131791</xdr:rowOff>
    </xdr:to>
    <xdr:graphicFrame macro="">
      <xdr:nvGraphicFramePr>
        <xdr:cNvPr id="2" name="Chart 1">
          <a:extLst>
            <a:ext uri="{FF2B5EF4-FFF2-40B4-BE49-F238E27FC236}">
              <a16:creationId xmlns:a16="http://schemas.microsoft.com/office/drawing/2014/main" id="{0AFB99DA-5161-DF94-B7B0-7E78619C21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25721</xdr:colOff>
      <xdr:row>11</xdr:row>
      <xdr:rowOff>97320</xdr:rowOff>
    </xdr:from>
    <xdr:to>
      <xdr:col>9</xdr:col>
      <xdr:colOff>223024</xdr:colOff>
      <xdr:row>22</xdr:row>
      <xdr:rowOff>155721</xdr:rowOff>
    </xdr:to>
    <xdr:graphicFrame macro="">
      <xdr:nvGraphicFramePr>
        <xdr:cNvPr id="6" name="Chart 5">
          <a:extLst>
            <a:ext uri="{FF2B5EF4-FFF2-40B4-BE49-F238E27FC236}">
              <a16:creationId xmlns:a16="http://schemas.microsoft.com/office/drawing/2014/main" id="{613CDEEE-804B-6E6A-FE96-6923885D9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239176</xdr:colOff>
      <xdr:row>11</xdr:row>
      <xdr:rowOff>95407</xdr:rowOff>
    </xdr:from>
    <xdr:to>
      <xdr:col>12</xdr:col>
      <xdr:colOff>208822</xdr:colOff>
      <xdr:row>22</xdr:row>
      <xdr:rowOff>132560</xdr:rowOff>
    </xdr:to>
    <xdr:graphicFrame macro="">
      <xdr:nvGraphicFramePr>
        <xdr:cNvPr id="7" name="Chart 6">
          <a:extLst>
            <a:ext uri="{FF2B5EF4-FFF2-40B4-BE49-F238E27FC236}">
              <a16:creationId xmlns:a16="http://schemas.microsoft.com/office/drawing/2014/main" id="{58467ED3-9495-60E1-ABED-C5B760BD3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180012</xdr:colOff>
      <xdr:row>1</xdr:row>
      <xdr:rowOff>610</xdr:rowOff>
    </xdr:from>
    <xdr:to>
      <xdr:col>12</xdr:col>
      <xdr:colOff>149169</xdr:colOff>
      <xdr:row>10</xdr:row>
      <xdr:rowOff>134303</xdr:rowOff>
    </xdr:to>
    <xdr:graphicFrame macro="">
      <xdr:nvGraphicFramePr>
        <xdr:cNvPr id="8" name="Chart 7">
          <a:extLst>
            <a:ext uri="{FF2B5EF4-FFF2-40B4-BE49-F238E27FC236}">
              <a16:creationId xmlns:a16="http://schemas.microsoft.com/office/drawing/2014/main" id="{17BAD3B7-ABB1-E503-D0D4-F1C2372F2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680627</xdr:colOff>
      <xdr:row>23</xdr:row>
      <xdr:rowOff>177565</xdr:rowOff>
    </xdr:from>
    <xdr:to>
      <xdr:col>8</xdr:col>
      <xdr:colOff>847451</xdr:colOff>
      <xdr:row>38</xdr:row>
      <xdr:rowOff>92308</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B81B5D8B-5430-FF4E-12D7-9D0EAB127D7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818960" y="432466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774699</xdr:colOff>
      <xdr:row>23</xdr:row>
      <xdr:rowOff>44292</xdr:rowOff>
    </xdr:from>
    <xdr:to>
      <xdr:col>9</xdr:col>
      <xdr:colOff>314364</xdr:colOff>
      <xdr:row>37</xdr:row>
      <xdr:rowOff>139343</xdr:rowOff>
    </xdr:to>
    <mc:AlternateContent xmlns:mc="http://schemas.openxmlformats.org/markup-compatibility/2006" xmlns:a14="http://schemas.microsoft.com/office/drawing/2010/main">
      <mc:Choice Requires="a14">
        <xdr:graphicFrame macro="">
          <xdr:nvGraphicFramePr>
            <xdr:cNvPr id="4" name="Application_Status">
              <a:extLst>
                <a:ext uri="{FF2B5EF4-FFF2-40B4-BE49-F238E27FC236}">
                  <a16:creationId xmlns:a16="http://schemas.microsoft.com/office/drawing/2014/main" id="{BB553188-1B42-18D3-73E1-815B12784EAE}"/>
                </a:ext>
              </a:extLst>
            </xdr:cNvPr>
            <xdr:cNvGraphicFramePr/>
          </xdr:nvGraphicFramePr>
          <xdr:xfrm>
            <a:off x="0" y="0"/>
            <a:ext cx="0" cy="0"/>
          </xdr:xfrm>
          <a:graphic>
            <a:graphicData uri="http://schemas.microsoft.com/office/drawing/2010/slicer">
              <sle:slicer xmlns:sle="http://schemas.microsoft.com/office/drawing/2010/slicer" name="Application_Status"/>
            </a:graphicData>
          </a:graphic>
        </xdr:graphicFrame>
      </mc:Choice>
      <mc:Fallback xmlns="">
        <xdr:sp macro="" textlink="">
          <xdr:nvSpPr>
            <xdr:cNvPr id="0" name=""/>
            <xdr:cNvSpPr>
              <a:spLocks noTextEdit="1"/>
            </xdr:cNvSpPr>
          </xdr:nvSpPr>
          <xdr:spPr>
            <a:xfrm>
              <a:off x="8575008" y="419139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343528</xdr:colOff>
      <xdr:row>23</xdr:row>
      <xdr:rowOff>37943</xdr:rowOff>
    </xdr:from>
    <xdr:to>
      <xdr:col>10</xdr:col>
      <xdr:colOff>447636</xdr:colOff>
      <xdr:row>37</xdr:row>
      <xdr:rowOff>132994</xdr:rowOff>
    </xdr:to>
    <mc:AlternateContent xmlns:mc="http://schemas.openxmlformats.org/markup-compatibility/2006" xmlns:a14="http://schemas.microsoft.com/office/drawing/2010/main">
      <mc:Choice Requires="a14">
        <xdr:graphicFrame macro="">
          <xdr:nvGraphicFramePr>
            <xdr:cNvPr id="5" name="Education_Level">
              <a:extLst>
                <a:ext uri="{FF2B5EF4-FFF2-40B4-BE49-F238E27FC236}">
                  <a16:creationId xmlns:a16="http://schemas.microsoft.com/office/drawing/2014/main" id="{B02ADDA0-DDDE-6E70-7853-C2777632CC3B}"/>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10432972" y="4185042"/>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344714</xdr:rowOff>
    </xdr:from>
    <xdr:to>
      <xdr:col>3</xdr:col>
      <xdr:colOff>6350</xdr:colOff>
      <xdr:row>15</xdr:row>
      <xdr:rowOff>125999</xdr:rowOff>
    </xdr:to>
    <mc:AlternateContent xmlns:mc="http://schemas.openxmlformats.org/markup-compatibility/2006" xmlns:a14="http://schemas.microsoft.com/office/drawing/2010/main">
      <mc:Choice Requires="a14">
        <xdr:graphicFrame macro="">
          <xdr:nvGraphicFramePr>
            <xdr:cNvPr id="2" name="Department 1">
              <a:extLst>
                <a:ext uri="{FF2B5EF4-FFF2-40B4-BE49-F238E27FC236}">
                  <a16:creationId xmlns:a16="http://schemas.microsoft.com/office/drawing/2014/main" id="{EA548DEB-6388-433F-AD56-589966A2839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707571"/>
              <a:ext cx="1648279" cy="2294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126092</xdr:rowOff>
    </xdr:from>
    <xdr:to>
      <xdr:col>3</xdr:col>
      <xdr:colOff>6953</xdr:colOff>
      <xdr:row>23</xdr:row>
      <xdr:rowOff>119741</xdr:rowOff>
    </xdr:to>
    <mc:AlternateContent xmlns:mc="http://schemas.openxmlformats.org/markup-compatibility/2006" xmlns:a14="http://schemas.microsoft.com/office/drawing/2010/main">
      <mc:Choice Requires="a14">
        <xdr:graphicFrame macro="">
          <xdr:nvGraphicFramePr>
            <xdr:cNvPr id="3" name="Application_Status 1">
              <a:extLst>
                <a:ext uri="{FF2B5EF4-FFF2-40B4-BE49-F238E27FC236}">
                  <a16:creationId xmlns:a16="http://schemas.microsoft.com/office/drawing/2014/main" id="{CC8F45C1-1D73-4058-8819-509FB052B971}"/>
                </a:ext>
              </a:extLst>
            </xdr:cNvPr>
            <xdr:cNvGraphicFramePr/>
          </xdr:nvGraphicFramePr>
          <xdr:xfrm>
            <a:off x="0" y="0"/>
            <a:ext cx="0" cy="0"/>
          </xdr:xfrm>
          <a:graphic>
            <a:graphicData uri="http://schemas.microsoft.com/office/drawing/2010/slicer">
              <sle:slicer xmlns:sle="http://schemas.microsoft.com/office/drawing/2010/slicer" name="Application_Status 1"/>
            </a:graphicData>
          </a:graphic>
        </xdr:graphicFrame>
      </mc:Choice>
      <mc:Fallback xmlns="">
        <xdr:sp macro="" textlink="">
          <xdr:nvSpPr>
            <xdr:cNvPr id="0" name=""/>
            <xdr:cNvSpPr>
              <a:spLocks noTextEdit="1"/>
            </xdr:cNvSpPr>
          </xdr:nvSpPr>
          <xdr:spPr>
            <a:xfrm>
              <a:off x="0" y="3001735"/>
              <a:ext cx="1648882" cy="1445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113991</xdr:rowOff>
    </xdr:from>
    <xdr:to>
      <xdr:col>3</xdr:col>
      <xdr:colOff>11981</xdr:colOff>
      <xdr:row>33</xdr:row>
      <xdr:rowOff>27129</xdr:rowOff>
    </xdr:to>
    <mc:AlternateContent xmlns:mc="http://schemas.openxmlformats.org/markup-compatibility/2006" xmlns:a14="http://schemas.microsoft.com/office/drawing/2010/main">
      <mc:Choice Requires="a14">
        <xdr:graphicFrame macro="">
          <xdr:nvGraphicFramePr>
            <xdr:cNvPr id="4" name="Education_Level 1">
              <a:extLst>
                <a:ext uri="{FF2B5EF4-FFF2-40B4-BE49-F238E27FC236}">
                  <a16:creationId xmlns:a16="http://schemas.microsoft.com/office/drawing/2014/main" id="{79180049-024D-4379-B467-F526CD648A9F}"/>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mlns="">
        <xdr:sp macro="" textlink="">
          <xdr:nvSpPr>
            <xdr:cNvPr id="0" name=""/>
            <xdr:cNvSpPr>
              <a:spLocks noTextEdit="1"/>
            </xdr:cNvSpPr>
          </xdr:nvSpPr>
          <xdr:spPr>
            <a:xfrm>
              <a:off x="0" y="4441062"/>
              <a:ext cx="1653910" cy="1709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24904</xdr:colOff>
      <xdr:row>3</xdr:row>
      <xdr:rowOff>62606</xdr:rowOff>
    </xdr:from>
    <xdr:to>
      <xdr:col>15</xdr:col>
      <xdr:colOff>400448</xdr:colOff>
      <xdr:row>15</xdr:row>
      <xdr:rowOff>76263</xdr:rowOff>
    </xdr:to>
    <xdr:graphicFrame macro="">
      <xdr:nvGraphicFramePr>
        <xdr:cNvPr id="5" name="Chart 4">
          <a:extLst>
            <a:ext uri="{FF2B5EF4-FFF2-40B4-BE49-F238E27FC236}">
              <a16:creationId xmlns:a16="http://schemas.microsoft.com/office/drawing/2014/main" id="{270C5D06-C941-46D0-B42D-1C79A32CC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740389</xdr:colOff>
      <xdr:row>16</xdr:row>
      <xdr:rowOff>12652</xdr:rowOff>
    </xdr:from>
    <xdr:to>
      <xdr:col>15</xdr:col>
      <xdr:colOff>428504</xdr:colOff>
      <xdr:row>28</xdr:row>
      <xdr:rowOff>124661</xdr:rowOff>
    </xdr:to>
    <xdr:graphicFrame macro="">
      <xdr:nvGraphicFramePr>
        <xdr:cNvPr id="6" name="Chart 5">
          <a:extLst>
            <a:ext uri="{FF2B5EF4-FFF2-40B4-BE49-F238E27FC236}">
              <a16:creationId xmlns:a16="http://schemas.microsoft.com/office/drawing/2014/main" id="{3AA10A23-666A-4178-884B-740C814AB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396398</xdr:colOff>
      <xdr:row>3</xdr:row>
      <xdr:rowOff>71551</xdr:rowOff>
    </xdr:from>
    <xdr:to>
      <xdr:col>22</xdr:col>
      <xdr:colOff>35774</xdr:colOff>
      <xdr:row>15</xdr:row>
      <xdr:rowOff>71550</xdr:rowOff>
    </xdr:to>
    <xdr:graphicFrame macro="">
      <xdr:nvGraphicFramePr>
        <xdr:cNvPr id="7" name="Chart 6">
          <a:extLst>
            <a:ext uri="{FF2B5EF4-FFF2-40B4-BE49-F238E27FC236}">
              <a16:creationId xmlns:a16="http://schemas.microsoft.com/office/drawing/2014/main" id="{924A69AA-496E-4551-B684-E173B2C7D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425320</xdr:colOff>
      <xdr:row>16</xdr:row>
      <xdr:rowOff>5937</xdr:rowOff>
    </xdr:from>
    <xdr:to>
      <xdr:col>22</xdr:col>
      <xdr:colOff>44718</xdr:colOff>
      <xdr:row>28</xdr:row>
      <xdr:rowOff>125210</xdr:rowOff>
    </xdr:to>
    <xdr:graphicFrame macro="">
      <xdr:nvGraphicFramePr>
        <xdr:cNvPr id="8" name="Chart 7">
          <a:extLst>
            <a:ext uri="{FF2B5EF4-FFF2-40B4-BE49-F238E27FC236}">
              <a16:creationId xmlns:a16="http://schemas.microsoft.com/office/drawing/2014/main" id="{B8990741-3576-4C26-88C7-8FF20434C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17888</xdr:colOff>
      <xdr:row>3</xdr:row>
      <xdr:rowOff>17177</xdr:rowOff>
    </xdr:from>
    <xdr:to>
      <xdr:col>4</xdr:col>
      <xdr:colOff>582219</xdr:colOff>
      <xdr:row>9</xdr:row>
      <xdr:rowOff>94324</xdr:rowOff>
    </xdr:to>
    <xdr:sp macro="" textlink="">
      <xdr:nvSpPr>
        <xdr:cNvPr id="15" name="Rectangle: Rounded Corners 14">
          <a:extLst>
            <a:ext uri="{FF2B5EF4-FFF2-40B4-BE49-F238E27FC236}">
              <a16:creationId xmlns:a16="http://schemas.microsoft.com/office/drawing/2014/main" id="{44AF3BBE-2F9D-98D2-2317-FBEEAE030C27}"/>
            </a:ext>
          </a:extLst>
        </xdr:cNvPr>
        <xdr:cNvSpPr/>
      </xdr:nvSpPr>
      <xdr:spPr>
        <a:xfrm>
          <a:off x="1663522" y="759501"/>
          <a:ext cx="1905880" cy="1150386"/>
        </a:xfrm>
        <a:prstGeom prst="roundRect">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6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Total applicants</a:t>
          </a:r>
          <a:endParaRPr lang="en-US" sz="1600" b="1" i="0" u="none" strike="noStrike" cap="none" spc="0">
            <a:ln w="9525">
              <a:solidFill>
                <a:schemeClr val="bg1"/>
              </a:solidFill>
              <a:prstDash val="solid"/>
            </a:ln>
            <a:solidFill>
              <a:sysClr val="windowText" lastClr="000000"/>
            </a:solidFill>
            <a:effectLst/>
            <a:latin typeface="Times New Roman" panose="02020603050405020304" pitchFamily="18" charset="0"/>
            <a:ea typeface="+mn-ea"/>
            <a:cs typeface="Times New Roman" panose="02020603050405020304" pitchFamily="18" charset="0"/>
          </a:endParaRPr>
        </a:p>
        <a:p>
          <a:pPr algn="ctr"/>
          <a:r>
            <a:rPr lang="en-US" sz="1600" b="1" i="0" u="none" strike="noStrike" cap="none" spc="0">
              <a:ln w="9525">
                <a:solidFill>
                  <a:schemeClr val="bg1"/>
                </a:solidFill>
                <a:prstDash val="solid"/>
              </a:ln>
              <a:solidFill>
                <a:sysClr val="windowText" lastClr="000000"/>
              </a:solidFill>
              <a:effectLst/>
              <a:latin typeface="Times New Roman" panose="02020603050405020304" pitchFamily="18" charset="0"/>
              <a:ea typeface="+mn-ea"/>
              <a:cs typeface="Times New Roman" panose="02020603050405020304" pitchFamily="18" charset="0"/>
            </a:rPr>
            <a:t>293</a:t>
          </a:r>
          <a:endParaRPr lang="en-US" sz="1400" b="1" cap="none" spc="0">
            <a:ln w="9525">
              <a:solidFill>
                <a:schemeClr val="bg1"/>
              </a:solidFill>
              <a:prstDash val="solid"/>
            </a:ln>
            <a:solidFill>
              <a:sysClr val="windowText" lastClr="000000"/>
            </a:solidFill>
            <a:effectLst>
              <a:outerShdw blurRad="12700" dist="38100" dir="2700000" algn="tl" rotWithShape="0">
                <a:schemeClr val="accent5">
                  <a:lumMod val="60000"/>
                  <a:lumOff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4</xdr:col>
      <xdr:colOff>602183</xdr:colOff>
      <xdr:row>3</xdr:row>
      <xdr:rowOff>16705</xdr:rowOff>
    </xdr:from>
    <xdr:to>
      <xdr:col>5</xdr:col>
      <xdr:colOff>865931</xdr:colOff>
      <xdr:row>9</xdr:row>
      <xdr:rowOff>93852</xdr:rowOff>
    </xdr:to>
    <xdr:sp macro="" textlink="">
      <xdr:nvSpPr>
        <xdr:cNvPr id="16" name="Rectangle: Rounded Corners 15">
          <a:extLst>
            <a:ext uri="{FF2B5EF4-FFF2-40B4-BE49-F238E27FC236}">
              <a16:creationId xmlns:a16="http://schemas.microsoft.com/office/drawing/2014/main" id="{57F91E79-4587-497E-846F-443EE8D3E15B}"/>
            </a:ext>
          </a:extLst>
        </xdr:cNvPr>
        <xdr:cNvSpPr/>
      </xdr:nvSpPr>
      <xdr:spPr>
        <a:xfrm>
          <a:off x="3589366" y="759029"/>
          <a:ext cx="1873607" cy="1150386"/>
        </a:xfrm>
        <a:prstGeom prst="roundRect">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6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Hired Applicants </a:t>
          </a:r>
          <a:r>
            <a:rPr lang="en-US" sz="1600" b="1">
              <a:solidFill>
                <a:sysClr val="windowText" lastClr="000000"/>
              </a:solidFill>
              <a:effectLst/>
              <a:latin typeface="Times New Roman" panose="02020603050405020304" pitchFamily="18" charset="0"/>
              <a:cs typeface="Times New Roman" panose="02020603050405020304" pitchFamily="18" charset="0"/>
            </a:rPr>
            <a:t> </a:t>
          </a:r>
        </a:p>
        <a:p>
          <a:pPr algn="ctr"/>
          <a:endParaRPr lang="en-US" sz="1600" b="1">
            <a:solidFill>
              <a:sysClr val="windowText" lastClr="000000"/>
            </a:solidFill>
            <a:effectLst/>
            <a:latin typeface="Times New Roman" panose="02020603050405020304" pitchFamily="18" charset="0"/>
            <a:cs typeface="Times New Roman" panose="02020603050405020304" pitchFamily="18" charset="0"/>
          </a:endParaRPr>
        </a:p>
        <a:p>
          <a:pPr algn="ctr"/>
          <a:r>
            <a:rPr lang="en-US" sz="1600" b="1">
              <a:solidFill>
                <a:sysClr val="windowText" lastClr="000000"/>
              </a:solidFill>
              <a:effectLst/>
              <a:latin typeface="Times New Roman" panose="02020603050405020304" pitchFamily="18" charset="0"/>
              <a:cs typeface="Times New Roman" panose="02020603050405020304" pitchFamily="18" charset="0"/>
            </a:rPr>
            <a:t>85</a:t>
          </a:r>
          <a:r>
            <a:rPr lang="en-US" sz="1400">
              <a:solidFill>
                <a:sysClr val="windowText" lastClr="000000"/>
              </a:solidFill>
              <a:effectLst/>
            </a:rPr>
            <a:t> </a:t>
          </a:r>
          <a:endParaRPr lang="en-US" sz="1400" b="1" cap="none" spc="0">
            <a:ln w="9525">
              <a:solidFill>
                <a:schemeClr val="bg1"/>
              </a:solidFill>
              <a:prstDash val="solid"/>
            </a:ln>
            <a:solidFill>
              <a:sysClr val="windowText" lastClr="000000"/>
            </a:solidFill>
            <a:effectLst>
              <a:outerShdw blurRad="12700" dist="38100" dir="2700000" algn="tl" rotWithShape="0">
                <a:schemeClr val="accent5">
                  <a:lumMod val="60000"/>
                  <a:lumOff val="40000"/>
                </a:schemeClr>
              </a:outerShdw>
            </a:effectLst>
          </a:endParaRPr>
        </a:p>
      </xdr:txBody>
    </xdr:sp>
    <xdr:clientData/>
  </xdr:twoCellAnchor>
  <xdr:twoCellAnchor>
    <xdr:from>
      <xdr:col>5</xdr:col>
      <xdr:colOff>875553</xdr:colOff>
      <xdr:row>3</xdr:row>
      <xdr:rowOff>15841</xdr:rowOff>
    </xdr:from>
    <xdr:to>
      <xdr:col>7</xdr:col>
      <xdr:colOff>412865</xdr:colOff>
      <xdr:row>9</xdr:row>
      <xdr:rowOff>92988</xdr:rowOff>
    </xdr:to>
    <xdr:sp macro="" textlink="">
      <xdr:nvSpPr>
        <xdr:cNvPr id="17" name="Rectangle: Rounded Corners 16">
          <a:extLst>
            <a:ext uri="{FF2B5EF4-FFF2-40B4-BE49-F238E27FC236}">
              <a16:creationId xmlns:a16="http://schemas.microsoft.com/office/drawing/2014/main" id="{1DB958BD-E8B6-4DDB-9388-39C79ACF38E5}"/>
            </a:ext>
          </a:extLst>
        </xdr:cNvPr>
        <xdr:cNvSpPr/>
      </xdr:nvSpPr>
      <xdr:spPr>
        <a:xfrm>
          <a:off x="5472595" y="758165"/>
          <a:ext cx="2095200" cy="1150386"/>
        </a:xfrm>
        <a:prstGeom prst="roundRect">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6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Average Experience Year</a:t>
          </a:r>
          <a:r>
            <a:rPr lang="en-US" sz="1600" b="1">
              <a:solidFill>
                <a:sysClr val="windowText" lastClr="000000"/>
              </a:solidFill>
              <a:effectLst/>
              <a:latin typeface="Times New Roman" panose="02020603050405020304" pitchFamily="18" charset="0"/>
              <a:cs typeface="Times New Roman" panose="02020603050405020304" pitchFamily="18" charset="0"/>
            </a:rPr>
            <a:t> </a:t>
          </a:r>
        </a:p>
        <a:p>
          <a:pPr algn="ctr"/>
          <a:r>
            <a:rPr lang="en-US" sz="1600" b="1" i="0">
              <a:solidFill>
                <a:sysClr val="windowText" lastClr="000000"/>
              </a:solidFill>
              <a:effectLst/>
              <a:latin typeface="Times New Roman" panose="02020603050405020304" pitchFamily="18" charset="0"/>
              <a:ea typeface="+mn-ea"/>
              <a:cs typeface="Times New Roman" panose="02020603050405020304" pitchFamily="18" charset="0"/>
            </a:rPr>
            <a:t>7.5</a:t>
          </a:r>
          <a:r>
            <a:rPr lang="en-US" sz="1600" b="1">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2400" b="1" cap="none" spc="0">
            <a:ln w="9525">
              <a:solidFill>
                <a:schemeClr val="bg1"/>
              </a:solidFill>
              <a:prstDash val="solid"/>
            </a:ln>
            <a:solidFill>
              <a:sysClr val="windowText" lastClr="000000"/>
            </a:solidFill>
            <a:effectLst>
              <a:outerShdw blurRad="12700" dist="38100" dir="2700000" algn="tl" rotWithShape="0">
                <a:schemeClr val="accent5">
                  <a:lumMod val="60000"/>
                  <a:lumOff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426149</xdr:colOff>
      <xdr:row>3</xdr:row>
      <xdr:rowOff>16783</xdr:rowOff>
    </xdr:from>
    <xdr:to>
      <xdr:col>9</xdr:col>
      <xdr:colOff>9731</xdr:colOff>
      <xdr:row>9</xdr:row>
      <xdr:rowOff>93930</xdr:rowOff>
    </xdr:to>
    <xdr:sp macro="" textlink="">
      <xdr:nvSpPr>
        <xdr:cNvPr id="18" name="Rectangle: Rounded Corners 17">
          <a:extLst>
            <a:ext uri="{FF2B5EF4-FFF2-40B4-BE49-F238E27FC236}">
              <a16:creationId xmlns:a16="http://schemas.microsoft.com/office/drawing/2014/main" id="{D7D251F2-F79B-4669-A122-36AE11D4E82F}"/>
            </a:ext>
          </a:extLst>
        </xdr:cNvPr>
        <xdr:cNvSpPr/>
      </xdr:nvSpPr>
      <xdr:spPr>
        <a:xfrm>
          <a:off x="7581079" y="759107"/>
          <a:ext cx="2204075" cy="1150386"/>
        </a:xfrm>
        <a:prstGeom prst="roundRect">
          <a:avLst/>
        </a:prstGeom>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600" b="1" i="0" u="none" strike="noStrike">
              <a:solidFill>
                <a:sysClr val="windowText" lastClr="000000"/>
              </a:solidFill>
              <a:effectLst/>
              <a:latin typeface="+mn-lt"/>
              <a:ea typeface="+mn-ea"/>
              <a:cs typeface="+mn-cs"/>
            </a:rPr>
            <a:t>Average Interview Score</a:t>
          </a:r>
          <a:endParaRPr lang="en-US" sz="1100" b="1" i="0" u="none" strike="noStrike" baseline="0">
            <a:solidFill>
              <a:sysClr val="windowText" lastClr="000000"/>
            </a:solidFill>
            <a:effectLst/>
            <a:latin typeface="+mn-lt"/>
            <a:ea typeface="+mn-ea"/>
            <a:cs typeface="+mn-cs"/>
          </a:endParaRPr>
        </a:p>
        <a:p>
          <a:pPr algn="ctr"/>
          <a:r>
            <a:rPr lang="en-US" sz="16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72.9</a:t>
          </a:r>
          <a:r>
            <a:rPr lang="en-US">
              <a:solidFill>
                <a:sysClr val="windowText" lastClr="000000"/>
              </a:solidFill>
              <a:effectLst/>
            </a:rPr>
            <a:t> </a:t>
          </a:r>
          <a:endParaRPr lang="en-US" sz="1100" b="1" cap="none" spc="0">
            <a:ln w="9525">
              <a:solidFill>
                <a:schemeClr val="bg1"/>
              </a:solidFill>
              <a:prstDash val="solid"/>
            </a:ln>
            <a:solidFill>
              <a:sysClr val="windowText" lastClr="000000"/>
            </a:solidFill>
            <a:effectLst>
              <a:outerShdw blurRad="12700" dist="38100" dir="2700000" algn="tl" rotWithShape="0">
                <a:schemeClr val="accent5">
                  <a:lumMod val="60000"/>
                  <a:lumOff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6.24116203704" createdVersion="8" refreshedVersion="8" minRefreshableVersion="3" recordCount="293" xr:uid="{84800A7E-13A6-44D5-AFC1-E8FF443B419F}">
  <cacheSource type="worksheet">
    <worksheetSource ref="A1:K294" sheet="Clean Data"/>
  </cacheSource>
  <cacheFields count="11">
    <cacheField name="Applicant_ID" numFmtId="0">
      <sharedItems/>
    </cacheField>
    <cacheField name="Application_Date" numFmtId="14">
      <sharedItems containsSemiMixedTypes="0" containsNonDate="0" containsDate="1" containsString="0" minDate="2025-01-01T00:00:00" maxDate="2026-08-01T00:00:00"/>
    </cacheField>
    <cacheField name="Department" numFmtId="0">
      <sharedItems count="7">
        <s v="Operations"/>
        <s v="IT"/>
        <s v="Administration"/>
        <s v="Sales"/>
        <s v="Finance"/>
        <s v="Unknown"/>
        <s v="HR"/>
      </sharedItems>
    </cacheField>
    <cacheField name="Experience_Years" numFmtId="0">
      <sharedItems containsMixedTypes="1" containsNumber="1" containsInteger="1" minValue="0" maxValue="15"/>
    </cacheField>
    <cacheField name="Education_Level" numFmtId="0">
      <sharedItems count="5">
        <s v="Bachelor"/>
        <s v="Diploma"/>
        <s v="Master"/>
        <s v="Unknown"/>
        <s v="PhD"/>
      </sharedItems>
    </cacheField>
    <cacheField name="Interview_Score" numFmtId="164">
      <sharedItems containsSemiMixedTypes="0" containsString="0" containsNumber="1" minValue="27.4" maxValue="100"/>
    </cacheField>
    <cacheField name="Application_Status" numFmtId="0">
      <sharedItems count="4">
        <s v="Hired"/>
        <s v="Shortlisted"/>
        <s v="Rejected"/>
        <s v="Pending"/>
      </sharedItems>
    </cacheField>
    <cacheField name="Interview Performance" numFmtId="0">
      <sharedItems/>
    </cacheField>
    <cacheField name="Application Year" numFmtId="0">
      <sharedItems containsSemiMixedTypes="0" containsString="0" containsNumber="1" containsInteger="1" minValue="2025" maxValue="2026"/>
    </cacheField>
    <cacheField name="Application Month" numFmtId="0">
      <sharedItems containsSemiMixedTypes="0" containsString="0" containsNumber="1" containsInteger="1" minValue="1" maxValue="12"/>
    </cacheField>
    <cacheField name="Application Day" numFmtId="0">
      <sharedItems containsSemiMixedTypes="0" containsString="0" containsNumber="1" containsInteger="1" minValue="1" maxValue="31"/>
    </cacheField>
  </cacheFields>
  <extLst>
    <ext xmlns:x14="http://schemas.microsoft.com/office/spreadsheetml/2009/9/main" uri="{725AE2AE-9491-48be-B2B4-4EB974FC3084}">
      <x14:pivotCacheDefinition pivotCacheId="1872320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s v="APP00288"/>
    <d v="2026-07-31T00:00:00"/>
    <x v="0"/>
    <n v="9"/>
    <x v="0"/>
    <n v="89.3"/>
    <x v="0"/>
    <s v="Pass"/>
    <n v="2026"/>
    <n v="7"/>
    <n v="31"/>
  </r>
  <r>
    <s v="APP00241"/>
    <d v="2026-07-28T00:00:00"/>
    <x v="1"/>
    <n v="9"/>
    <x v="0"/>
    <n v="85.3"/>
    <x v="0"/>
    <s v="Pass"/>
    <n v="2026"/>
    <n v="7"/>
    <n v="28"/>
  </r>
  <r>
    <s v="APP00244"/>
    <d v="2026-07-28T00:00:00"/>
    <x v="2"/>
    <n v="13"/>
    <x v="1"/>
    <n v="79.2"/>
    <x v="1"/>
    <s v="Pass"/>
    <n v="2026"/>
    <n v="7"/>
    <n v="28"/>
  </r>
  <r>
    <s v="APP00219"/>
    <d v="2026-07-25T00:00:00"/>
    <x v="1"/>
    <n v="4"/>
    <x v="0"/>
    <n v="74"/>
    <x v="2"/>
    <s v="Pass"/>
    <n v="2026"/>
    <n v="7"/>
    <n v="25"/>
  </r>
  <r>
    <s v="APP00084"/>
    <d v="2026-07-23T00:00:00"/>
    <x v="3"/>
    <n v="1"/>
    <x v="1"/>
    <n v="46.6"/>
    <x v="3"/>
    <s v="Fail"/>
    <n v="2026"/>
    <n v="7"/>
    <n v="23"/>
  </r>
  <r>
    <s v="APP00148"/>
    <d v="2026-07-22T00:00:00"/>
    <x v="4"/>
    <n v="9"/>
    <x v="0"/>
    <n v="71.8"/>
    <x v="2"/>
    <s v="Pass"/>
    <n v="2026"/>
    <n v="7"/>
    <n v="22"/>
  </r>
  <r>
    <s v="APP00043"/>
    <d v="2026-07-22T00:00:00"/>
    <x v="4"/>
    <n v="6"/>
    <x v="0"/>
    <n v="54.7"/>
    <x v="1"/>
    <s v="Fail"/>
    <n v="2026"/>
    <n v="7"/>
    <n v="22"/>
  </r>
  <r>
    <s v="APP00240"/>
    <d v="2026-07-19T00:00:00"/>
    <x v="5"/>
    <n v="9"/>
    <x v="1"/>
    <n v="97.6"/>
    <x v="0"/>
    <s v="Pass"/>
    <n v="2026"/>
    <n v="7"/>
    <n v="19"/>
  </r>
  <r>
    <s v="APP00110"/>
    <d v="2026-07-19T00:00:00"/>
    <x v="4"/>
    <n v="1"/>
    <x v="1"/>
    <n v="89.9"/>
    <x v="1"/>
    <s v="Pass"/>
    <n v="2026"/>
    <n v="7"/>
    <n v="19"/>
  </r>
  <r>
    <s v="APP00205"/>
    <d v="2026-07-15T00:00:00"/>
    <x v="3"/>
    <n v="11"/>
    <x v="0"/>
    <n v="87.2"/>
    <x v="0"/>
    <s v="Pass"/>
    <n v="2026"/>
    <n v="7"/>
    <n v="15"/>
  </r>
  <r>
    <s v="APP00122"/>
    <d v="2026-07-15T00:00:00"/>
    <x v="3"/>
    <n v="8"/>
    <x v="2"/>
    <n v="84.1"/>
    <x v="0"/>
    <s v="Pass"/>
    <n v="2026"/>
    <n v="7"/>
    <n v="15"/>
  </r>
  <r>
    <s v="APP00220"/>
    <d v="2026-07-13T00:00:00"/>
    <x v="0"/>
    <n v="6"/>
    <x v="2"/>
    <n v="74"/>
    <x v="1"/>
    <s v="Pass"/>
    <n v="2026"/>
    <n v="7"/>
    <n v="13"/>
  </r>
  <r>
    <s v="APP00284"/>
    <d v="2026-07-10T00:00:00"/>
    <x v="3"/>
    <n v="7"/>
    <x v="0"/>
    <n v="85.8"/>
    <x v="0"/>
    <s v="Pass"/>
    <n v="2026"/>
    <n v="7"/>
    <n v="10"/>
  </r>
  <r>
    <s v="MISSING_ID_004"/>
    <d v="2026-07-10T00:00:00"/>
    <x v="1"/>
    <n v="6"/>
    <x v="0"/>
    <n v="77.400000000000006"/>
    <x v="1"/>
    <s v="Pass"/>
    <n v="2026"/>
    <n v="7"/>
    <n v="10"/>
  </r>
  <r>
    <s v="APP00257"/>
    <d v="2026-07-09T00:00:00"/>
    <x v="5"/>
    <n v="7"/>
    <x v="0"/>
    <n v="61.5"/>
    <x v="2"/>
    <s v="Fail"/>
    <n v="2026"/>
    <n v="7"/>
    <n v="9"/>
  </r>
  <r>
    <s v="APP00018"/>
    <d v="2026-07-05T00:00:00"/>
    <x v="3"/>
    <n v="2"/>
    <x v="0"/>
    <n v="74"/>
    <x v="1"/>
    <s v="Pass"/>
    <n v="2026"/>
    <n v="7"/>
    <n v="5"/>
  </r>
  <r>
    <s v="APP00194"/>
    <d v="2026-07-04T00:00:00"/>
    <x v="2"/>
    <n v="11"/>
    <x v="2"/>
    <n v="74"/>
    <x v="0"/>
    <s v="Pass"/>
    <n v="2026"/>
    <n v="7"/>
    <n v="4"/>
  </r>
  <r>
    <s v="APP00178"/>
    <d v="2026-07-02T00:00:00"/>
    <x v="0"/>
    <n v="6"/>
    <x v="2"/>
    <n v="58.3"/>
    <x v="2"/>
    <s v="Fail"/>
    <n v="2026"/>
    <n v="7"/>
    <n v="2"/>
  </r>
  <r>
    <s v="APP00280"/>
    <d v="2026-07-01T00:00:00"/>
    <x v="6"/>
    <n v="15"/>
    <x v="0"/>
    <n v="74.7"/>
    <x v="1"/>
    <s v="Pass"/>
    <n v="2026"/>
    <n v="7"/>
    <n v="1"/>
  </r>
  <r>
    <s v="MISSING_ID_005"/>
    <d v="2026-06-29T00:00:00"/>
    <x v="1"/>
    <n v="13"/>
    <x v="1"/>
    <n v="69.3"/>
    <x v="1"/>
    <s v="Fail"/>
    <n v="2026"/>
    <n v="6"/>
    <n v="29"/>
  </r>
  <r>
    <s v="APP00169"/>
    <d v="2026-06-27T00:00:00"/>
    <x v="3"/>
    <n v="5"/>
    <x v="2"/>
    <n v="46.6"/>
    <x v="1"/>
    <s v="Fail"/>
    <n v="2026"/>
    <n v="6"/>
    <n v="27"/>
  </r>
  <r>
    <s v="APP00213"/>
    <d v="2026-06-25T00:00:00"/>
    <x v="6"/>
    <n v="7"/>
    <x v="0"/>
    <n v="79.3"/>
    <x v="1"/>
    <s v="Pass"/>
    <n v="2026"/>
    <n v="6"/>
    <n v="25"/>
  </r>
  <r>
    <s v="APP00275"/>
    <d v="2026-06-24T00:00:00"/>
    <x v="2"/>
    <n v="8"/>
    <x v="3"/>
    <n v="91.3"/>
    <x v="0"/>
    <s v="Pass"/>
    <n v="2026"/>
    <n v="6"/>
    <n v="24"/>
  </r>
  <r>
    <s v="APP00006"/>
    <d v="2026-06-24T00:00:00"/>
    <x v="0"/>
    <n v="11"/>
    <x v="0"/>
    <n v="74.599999999999994"/>
    <x v="1"/>
    <s v="Pass"/>
    <n v="2026"/>
    <n v="6"/>
    <n v="24"/>
  </r>
  <r>
    <s v="APP00065"/>
    <d v="2026-06-24T00:00:00"/>
    <x v="0"/>
    <n v="5"/>
    <x v="1"/>
    <n v="62.1"/>
    <x v="3"/>
    <s v="Fail"/>
    <n v="2026"/>
    <n v="6"/>
    <n v="24"/>
  </r>
  <r>
    <s v="APP00211"/>
    <d v="2026-06-22T00:00:00"/>
    <x v="2"/>
    <n v="1"/>
    <x v="0"/>
    <n v="74"/>
    <x v="2"/>
    <s v="Pass"/>
    <n v="2026"/>
    <n v="6"/>
    <n v="22"/>
  </r>
  <r>
    <s v="APP00239"/>
    <d v="2026-06-21T00:00:00"/>
    <x v="4"/>
    <n v="12"/>
    <x v="0"/>
    <n v="65.3"/>
    <x v="2"/>
    <s v="Fail"/>
    <n v="2026"/>
    <n v="6"/>
    <n v="21"/>
  </r>
  <r>
    <s v="APP00209"/>
    <d v="2026-06-18T00:00:00"/>
    <x v="3"/>
    <n v="15"/>
    <x v="0"/>
    <n v="88.3"/>
    <x v="0"/>
    <s v="Pass"/>
    <n v="2026"/>
    <n v="6"/>
    <n v="18"/>
  </r>
  <r>
    <s v="APP00228"/>
    <d v="2026-06-18T00:00:00"/>
    <x v="3"/>
    <n v="8"/>
    <x v="0"/>
    <n v="86"/>
    <x v="0"/>
    <s v="Pass"/>
    <n v="2026"/>
    <n v="6"/>
    <n v="18"/>
  </r>
  <r>
    <s v="APP00231"/>
    <d v="2026-06-17T00:00:00"/>
    <x v="1"/>
    <n v="8"/>
    <x v="3"/>
    <n v="88.9"/>
    <x v="0"/>
    <s v="Pass"/>
    <n v="2026"/>
    <n v="6"/>
    <n v="17"/>
  </r>
  <r>
    <s v="APP00100"/>
    <d v="2026-06-15T00:00:00"/>
    <x v="6"/>
    <n v="1"/>
    <x v="0"/>
    <n v="61.5"/>
    <x v="3"/>
    <s v="Fail"/>
    <n v="2026"/>
    <n v="6"/>
    <n v="15"/>
  </r>
  <r>
    <s v="APP00131"/>
    <d v="2026-06-14T00:00:00"/>
    <x v="4"/>
    <n v="6"/>
    <x v="0"/>
    <n v="72.7"/>
    <x v="3"/>
    <s v="Pass"/>
    <n v="2026"/>
    <n v="6"/>
    <n v="14"/>
  </r>
  <r>
    <s v="APP00196"/>
    <d v="2026-06-12T00:00:00"/>
    <x v="2"/>
    <n v="13"/>
    <x v="0"/>
    <n v="61.1"/>
    <x v="1"/>
    <s v="Fail"/>
    <n v="2026"/>
    <n v="6"/>
    <n v="12"/>
  </r>
  <r>
    <s v="APP00263"/>
    <d v="2026-06-09T00:00:00"/>
    <x v="0"/>
    <n v="12"/>
    <x v="0"/>
    <n v="83.8"/>
    <x v="3"/>
    <s v="Pass"/>
    <n v="2026"/>
    <n v="6"/>
    <n v="9"/>
  </r>
  <r>
    <s v="APP00038"/>
    <d v="2026-06-09T00:00:00"/>
    <x v="1"/>
    <n v="14"/>
    <x v="2"/>
    <n v="79.099999999999994"/>
    <x v="2"/>
    <s v="Pass"/>
    <n v="2026"/>
    <n v="6"/>
    <n v="9"/>
  </r>
  <r>
    <s v="APP00217"/>
    <d v="2026-06-08T00:00:00"/>
    <x v="2"/>
    <n v="7"/>
    <x v="0"/>
    <n v="97"/>
    <x v="0"/>
    <s v="Pass"/>
    <n v="2026"/>
    <n v="6"/>
    <n v="8"/>
  </r>
  <r>
    <s v="APP00103"/>
    <d v="2026-06-06T00:00:00"/>
    <x v="6"/>
    <n v="2"/>
    <x v="0"/>
    <n v="44.1"/>
    <x v="1"/>
    <s v="Fail"/>
    <n v="2026"/>
    <n v="6"/>
    <n v="6"/>
  </r>
  <r>
    <s v="APP00118"/>
    <d v="2026-06-05T00:00:00"/>
    <x v="1"/>
    <n v="2"/>
    <x v="2"/>
    <n v="86.4"/>
    <x v="0"/>
    <s v="Pass"/>
    <n v="2026"/>
    <n v="6"/>
    <n v="5"/>
  </r>
  <r>
    <s v="APP00061"/>
    <d v="2026-06-03T00:00:00"/>
    <x v="2"/>
    <n v="7"/>
    <x v="0"/>
    <n v="77.3"/>
    <x v="2"/>
    <s v="Pass"/>
    <n v="2026"/>
    <n v="6"/>
    <n v="3"/>
  </r>
  <r>
    <s v="APP00087"/>
    <d v="2026-06-03T00:00:00"/>
    <x v="4"/>
    <n v="15"/>
    <x v="0"/>
    <n v="63.6"/>
    <x v="1"/>
    <s v="Fail"/>
    <n v="2026"/>
    <n v="6"/>
    <n v="3"/>
  </r>
  <r>
    <s v="APP00266"/>
    <d v="2026-06-01T00:00:00"/>
    <x v="1"/>
    <n v="7"/>
    <x v="1"/>
    <n v="75.7"/>
    <x v="3"/>
    <s v="Pass"/>
    <n v="2026"/>
    <n v="6"/>
    <n v="1"/>
  </r>
  <r>
    <s v="APP00175"/>
    <d v="2026-05-31T00:00:00"/>
    <x v="1"/>
    <n v="0"/>
    <x v="4"/>
    <n v="76.5"/>
    <x v="1"/>
    <s v="Pass"/>
    <n v="2026"/>
    <n v="5"/>
    <n v="31"/>
  </r>
  <r>
    <s v="APP00207"/>
    <d v="2026-05-31T00:00:00"/>
    <x v="3"/>
    <n v="1"/>
    <x v="2"/>
    <n v="64.3"/>
    <x v="2"/>
    <s v="Fail"/>
    <n v="2026"/>
    <n v="5"/>
    <n v="31"/>
  </r>
  <r>
    <s v="APP00192"/>
    <d v="2026-05-23T00:00:00"/>
    <x v="4"/>
    <n v="6"/>
    <x v="0"/>
    <n v="96.3"/>
    <x v="0"/>
    <s v="Pass"/>
    <n v="2026"/>
    <n v="5"/>
    <n v="23"/>
  </r>
  <r>
    <s v="APP00016"/>
    <d v="2026-05-21T00:00:00"/>
    <x v="2"/>
    <n v="7"/>
    <x v="1"/>
    <n v="72.5"/>
    <x v="1"/>
    <s v="Pass"/>
    <n v="2026"/>
    <n v="5"/>
    <n v="21"/>
  </r>
  <r>
    <s v="APP00279"/>
    <d v="2026-05-19T00:00:00"/>
    <x v="5"/>
    <n v="9"/>
    <x v="3"/>
    <n v="62.8"/>
    <x v="1"/>
    <s v="Fail"/>
    <n v="2026"/>
    <n v="5"/>
    <n v="19"/>
  </r>
  <r>
    <s v="APP00030"/>
    <d v="2026-05-17T00:00:00"/>
    <x v="0"/>
    <n v="10"/>
    <x v="0"/>
    <n v="70.900000000000006"/>
    <x v="1"/>
    <s v="Pass"/>
    <n v="2026"/>
    <n v="5"/>
    <n v="17"/>
  </r>
  <r>
    <s v="APP00059"/>
    <d v="2026-05-17T00:00:00"/>
    <x v="6"/>
    <n v="4"/>
    <x v="2"/>
    <n v="33.4"/>
    <x v="1"/>
    <s v="Fail"/>
    <n v="2026"/>
    <n v="5"/>
    <n v="17"/>
  </r>
  <r>
    <s v="APP00261"/>
    <d v="2026-05-13T00:00:00"/>
    <x v="2"/>
    <n v="7"/>
    <x v="2"/>
    <n v="100"/>
    <x v="0"/>
    <s v="Pass"/>
    <n v="2026"/>
    <n v="5"/>
    <n v="13"/>
  </r>
  <r>
    <s v="APP00032"/>
    <d v="2026-05-12T00:00:00"/>
    <x v="2"/>
    <n v="7"/>
    <x v="2"/>
    <n v="83.5"/>
    <x v="0"/>
    <s v="Pass"/>
    <n v="2026"/>
    <n v="5"/>
    <n v="12"/>
  </r>
  <r>
    <s v="APP00098"/>
    <d v="2026-05-06T00:00:00"/>
    <x v="6"/>
    <n v="7"/>
    <x v="0"/>
    <n v="79.8"/>
    <x v="1"/>
    <s v="Pass"/>
    <n v="2026"/>
    <n v="5"/>
    <n v="6"/>
  </r>
  <r>
    <s v="APP00055"/>
    <d v="2026-05-02T00:00:00"/>
    <x v="0"/>
    <n v="10"/>
    <x v="0"/>
    <n v="74"/>
    <x v="0"/>
    <s v="Pass"/>
    <n v="2026"/>
    <n v="5"/>
    <n v="2"/>
  </r>
  <r>
    <s v="APP00064"/>
    <d v="2026-05-01T00:00:00"/>
    <x v="2"/>
    <n v="2"/>
    <x v="2"/>
    <n v="53"/>
    <x v="3"/>
    <s v="Fail"/>
    <n v="2026"/>
    <n v="5"/>
    <n v="1"/>
  </r>
  <r>
    <s v="APP00245"/>
    <d v="2026-04-29T00:00:00"/>
    <x v="1"/>
    <n v="14"/>
    <x v="0"/>
    <n v="78.099999999999994"/>
    <x v="3"/>
    <s v="Pass"/>
    <n v="2026"/>
    <n v="4"/>
    <n v="29"/>
  </r>
  <r>
    <s v="APP00145"/>
    <d v="2026-04-29T00:00:00"/>
    <x v="5"/>
    <n v="9"/>
    <x v="0"/>
    <n v="27.4"/>
    <x v="1"/>
    <s v="Fail"/>
    <n v="2026"/>
    <n v="4"/>
    <n v="29"/>
  </r>
  <r>
    <s v="APP00174"/>
    <d v="2026-04-27T00:00:00"/>
    <x v="2"/>
    <n v="0"/>
    <x v="0"/>
    <n v="54"/>
    <x v="2"/>
    <s v="Fail"/>
    <n v="2026"/>
    <n v="4"/>
    <n v="27"/>
  </r>
  <r>
    <s v="APP00074"/>
    <d v="2026-04-26T00:00:00"/>
    <x v="1"/>
    <n v="9"/>
    <x v="0"/>
    <n v="52.4"/>
    <x v="1"/>
    <s v="Fail"/>
    <n v="2026"/>
    <n v="4"/>
    <n v="26"/>
  </r>
  <r>
    <s v="APP00269"/>
    <d v="2026-04-21T00:00:00"/>
    <x v="3"/>
    <n v="12"/>
    <x v="4"/>
    <n v="87.3"/>
    <x v="0"/>
    <s v="Pass"/>
    <n v="2026"/>
    <n v="4"/>
    <n v="21"/>
  </r>
  <r>
    <s v="APP00189"/>
    <d v="2026-04-20T00:00:00"/>
    <x v="6"/>
    <n v="6"/>
    <x v="2"/>
    <n v="59.8"/>
    <x v="1"/>
    <s v="Fail"/>
    <n v="2026"/>
    <n v="4"/>
    <n v="20"/>
  </r>
  <r>
    <s v="APP00214"/>
    <d v="2026-04-20T00:00:00"/>
    <x v="3"/>
    <n v="5"/>
    <x v="0"/>
    <n v="58"/>
    <x v="2"/>
    <s v="Fail"/>
    <n v="2026"/>
    <n v="4"/>
    <n v="20"/>
  </r>
  <r>
    <s v="APP00224"/>
    <d v="2026-04-16T00:00:00"/>
    <x v="3"/>
    <n v="13"/>
    <x v="0"/>
    <n v="86.1"/>
    <x v="0"/>
    <s v="Pass"/>
    <n v="2026"/>
    <n v="4"/>
    <n v="16"/>
  </r>
  <r>
    <s v="APP00053"/>
    <d v="2026-04-12T00:00:00"/>
    <x v="3"/>
    <n v="14"/>
    <x v="0"/>
    <n v="80.3"/>
    <x v="0"/>
    <s v="Pass"/>
    <n v="2026"/>
    <n v="4"/>
    <n v="12"/>
  </r>
  <r>
    <s v="APP00005"/>
    <d v="2026-04-12T00:00:00"/>
    <x v="0"/>
    <n v="9"/>
    <x v="0"/>
    <n v="74.900000000000006"/>
    <x v="1"/>
    <s v="Pass"/>
    <n v="2026"/>
    <n v="4"/>
    <n v="12"/>
  </r>
  <r>
    <s v="APP00291"/>
    <d v="2026-04-07T00:00:00"/>
    <x v="0"/>
    <n v="14"/>
    <x v="0"/>
    <n v="81.7"/>
    <x v="0"/>
    <s v="Pass"/>
    <n v="2026"/>
    <n v="4"/>
    <n v="7"/>
  </r>
  <r>
    <s v="APP00173"/>
    <d v="2026-04-02T00:00:00"/>
    <x v="1"/>
    <n v="6"/>
    <x v="0"/>
    <n v="88.9"/>
    <x v="0"/>
    <s v="Pass"/>
    <n v="2026"/>
    <n v="4"/>
    <n v="2"/>
  </r>
  <r>
    <s v="APP00108"/>
    <d v="2026-03-31T00:00:00"/>
    <x v="6"/>
    <n v="11"/>
    <x v="2"/>
    <n v="75"/>
    <x v="3"/>
    <s v="Pass"/>
    <n v="2026"/>
    <n v="3"/>
    <n v="31"/>
  </r>
  <r>
    <s v="APP00037"/>
    <d v="2026-03-27T00:00:00"/>
    <x v="1"/>
    <n v="10"/>
    <x v="2"/>
    <n v="76.900000000000006"/>
    <x v="1"/>
    <s v="Pass"/>
    <n v="2026"/>
    <n v="3"/>
    <n v="27"/>
  </r>
  <r>
    <s v="APP00132"/>
    <d v="2026-03-26T00:00:00"/>
    <x v="2"/>
    <n v="0"/>
    <x v="2"/>
    <n v="49.6"/>
    <x v="2"/>
    <s v="Fail"/>
    <n v="2026"/>
    <n v="3"/>
    <n v="26"/>
  </r>
  <r>
    <s v="APP00283"/>
    <d v="2026-03-15T00:00:00"/>
    <x v="3"/>
    <n v="14"/>
    <x v="3"/>
    <n v="88.3"/>
    <x v="0"/>
    <s v="Pass"/>
    <n v="2026"/>
    <n v="3"/>
    <n v="15"/>
  </r>
  <r>
    <s v="APP00071"/>
    <d v="2026-03-12T00:00:00"/>
    <x v="3"/>
    <n v="12"/>
    <x v="0"/>
    <n v="74"/>
    <x v="2"/>
    <s v="Pass"/>
    <n v="2026"/>
    <n v="3"/>
    <n v="12"/>
  </r>
  <r>
    <s v="APP00134"/>
    <d v="2026-03-12T00:00:00"/>
    <x v="1"/>
    <n v="9"/>
    <x v="1"/>
    <n v="67.3"/>
    <x v="2"/>
    <s v="Fail"/>
    <n v="2026"/>
    <n v="3"/>
    <n v="12"/>
  </r>
  <r>
    <s v="APP00246"/>
    <d v="2026-03-12T00:00:00"/>
    <x v="4"/>
    <n v="0"/>
    <x v="0"/>
    <n v="63.4"/>
    <x v="2"/>
    <s v="Fail"/>
    <n v="2026"/>
    <n v="3"/>
    <n v="12"/>
  </r>
  <r>
    <s v="APP00049"/>
    <d v="2026-03-11T00:00:00"/>
    <x v="3"/>
    <n v="7"/>
    <x v="3"/>
    <n v="96.8"/>
    <x v="0"/>
    <s v="Pass"/>
    <n v="2026"/>
    <n v="3"/>
    <n v="11"/>
  </r>
  <r>
    <s v="APP00256"/>
    <d v="2026-03-09T00:00:00"/>
    <x v="0"/>
    <n v="7"/>
    <x v="0"/>
    <n v="84.9"/>
    <x v="0"/>
    <s v="Pass"/>
    <n v="2026"/>
    <n v="3"/>
    <n v="9"/>
  </r>
  <r>
    <s v="APP00141"/>
    <d v="2026-03-09T00:00:00"/>
    <x v="5"/>
    <n v="11"/>
    <x v="2"/>
    <n v="73.7"/>
    <x v="2"/>
    <s v="Pass"/>
    <n v="2026"/>
    <n v="3"/>
    <n v="9"/>
  </r>
  <r>
    <s v="APP00056"/>
    <d v="2026-02-28T00:00:00"/>
    <x v="1"/>
    <n v="0"/>
    <x v="0"/>
    <n v="78.099999999999994"/>
    <x v="3"/>
    <s v="Pass"/>
    <n v="2026"/>
    <n v="2"/>
    <n v="28"/>
  </r>
  <r>
    <s v="APP00184"/>
    <d v="2026-02-27T00:00:00"/>
    <x v="1"/>
    <n v="9"/>
    <x v="0"/>
    <n v="53.4"/>
    <x v="3"/>
    <s v="Fail"/>
    <n v="2026"/>
    <n v="2"/>
    <n v="27"/>
  </r>
  <r>
    <s v="MISSING_ID_009"/>
    <d v="2026-02-23T00:00:00"/>
    <x v="0"/>
    <n v="12"/>
    <x v="0"/>
    <n v="86"/>
    <x v="0"/>
    <s v="Pass"/>
    <n v="2026"/>
    <n v="2"/>
    <n v="23"/>
  </r>
  <r>
    <s v="APP00142"/>
    <d v="2026-02-23T00:00:00"/>
    <x v="0"/>
    <n v="12"/>
    <x v="0"/>
    <n v="86"/>
    <x v="3"/>
    <s v="Pass"/>
    <n v="2026"/>
    <n v="2"/>
    <n v="23"/>
  </r>
  <r>
    <s v="APP00160"/>
    <d v="2026-02-21T00:00:00"/>
    <x v="6"/>
    <n v="6"/>
    <x v="2"/>
    <n v="50.1"/>
    <x v="2"/>
    <s v="Fail"/>
    <n v="2026"/>
    <n v="2"/>
    <n v="21"/>
  </r>
  <r>
    <s v="APP00096"/>
    <d v="2026-02-19T00:00:00"/>
    <x v="2"/>
    <n v="2"/>
    <x v="2"/>
    <n v="74.8"/>
    <x v="3"/>
    <s v="Pass"/>
    <n v="2026"/>
    <n v="2"/>
    <n v="19"/>
  </r>
  <r>
    <s v="APP00229"/>
    <d v="2026-02-09T00:00:00"/>
    <x v="2"/>
    <n v="12"/>
    <x v="0"/>
    <n v="54.4"/>
    <x v="1"/>
    <s v="Fail"/>
    <n v="2026"/>
    <n v="2"/>
    <n v="9"/>
  </r>
  <r>
    <s v="MISSING_ID_015"/>
    <d v="2026-02-01T00:00:00"/>
    <x v="4"/>
    <n v="1"/>
    <x v="0"/>
    <n v="59.4"/>
    <x v="3"/>
    <s v="Fail"/>
    <n v="2026"/>
    <n v="2"/>
    <n v="1"/>
  </r>
  <r>
    <s v="APP00008"/>
    <d v="2026-01-30T00:00:00"/>
    <x v="0"/>
    <n v="12"/>
    <x v="2"/>
    <n v="71.599999999999994"/>
    <x v="3"/>
    <s v="Pass"/>
    <n v="2026"/>
    <n v="1"/>
    <n v="30"/>
  </r>
  <r>
    <s v="APP00040"/>
    <d v="2026-01-28T00:00:00"/>
    <x v="6"/>
    <n v="12"/>
    <x v="2"/>
    <n v="59.7"/>
    <x v="1"/>
    <s v="Fail"/>
    <n v="2026"/>
    <n v="1"/>
    <n v="28"/>
  </r>
  <r>
    <s v="APP00221"/>
    <d v="2026-01-26T00:00:00"/>
    <x v="6"/>
    <n v="10"/>
    <x v="2"/>
    <n v="66.400000000000006"/>
    <x v="3"/>
    <s v="Fail"/>
    <n v="2026"/>
    <n v="1"/>
    <n v="26"/>
  </r>
  <r>
    <s v="APP00082"/>
    <d v="2026-01-26T00:00:00"/>
    <x v="4"/>
    <n v="7"/>
    <x v="0"/>
    <n v="59.3"/>
    <x v="2"/>
    <s v="Fail"/>
    <n v="2026"/>
    <n v="1"/>
    <n v="26"/>
  </r>
  <r>
    <s v="APP00114"/>
    <d v="2026-01-25T00:00:00"/>
    <x v="0"/>
    <n v="9"/>
    <x v="4"/>
    <n v="63.5"/>
    <x v="2"/>
    <s v="Fail"/>
    <n v="2026"/>
    <n v="1"/>
    <n v="25"/>
  </r>
  <r>
    <s v="APP00102"/>
    <d v="2026-01-11T00:00:00"/>
    <x v="0"/>
    <n v="2"/>
    <x v="2"/>
    <n v="59.8"/>
    <x v="1"/>
    <s v="Fail"/>
    <n v="2026"/>
    <n v="1"/>
    <n v="11"/>
  </r>
  <r>
    <s v="APP00112"/>
    <d v="2026-01-07T00:00:00"/>
    <x v="0"/>
    <n v="5"/>
    <x v="0"/>
    <n v="90.6"/>
    <x v="0"/>
    <s v="Pass"/>
    <n v="2026"/>
    <n v="1"/>
    <n v="7"/>
  </r>
  <r>
    <s v="APP00198"/>
    <d v="2026-01-06T00:00:00"/>
    <x v="6"/>
    <n v="15"/>
    <x v="2"/>
    <n v="98.1"/>
    <x v="0"/>
    <s v="Pass"/>
    <n v="2026"/>
    <n v="1"/>
    <n v="6"/>
  </r>
  <r>
    <s v="APP00057"/>
    <d v="2026-01-01T00:00:00"/>
    <x v="6"/>
    <n v="3"/>
    <x v="2"/>
    <n v="74.400000000000006"/>
    <x v="2"/>
    <s v="Pass"/>
    <n v="2026"/>
    <n v="1"/>
    <n v="1"/>
  </r>
  <r>
    <s v="MISSING_ID_007"/>
    <d v="2025-12-31T00:00:00"/>
    <x v="6"/>
    <n v="8"/>
    <x v="0"/>
    <n v="73.5"/>
    <x v="2"/>
    <s v="Pass"/>
    <n v="2025"/>
    <n v="12"/>
    <n v="31"/>
  </r>
  <r>
    <s v="APP00247"/>
    <d v="2025-12-29T00:00:00"/>
    <x v="2"/>
    <n v="4"/>
    <x v="0"/>
    <n v="48.1"/>
    <x v="1"/>
    <s v="Fail"/>
    <n v="2025"/>
    <n v="12"/>
    <n v="29"/>
  </r>
  <r>
    <s v="APP00080"/>
    <d v="2025-12-28T00:00:00"/>
    <x v="5"/>
    <n v="4"/>
    <x v="2"/>
    <n v="92.4"/>
    <x v="0"/>
    <s v="Pass"/>
    <n v="2025"/>
    <n v="12"/>
    <n v="28"/>
  </r>
  <r>
    <s v="APP00046"/>
    <d v="2025-12-26T00:00:00"/>
    <x v="1"/>
    <n v="12"/>
    <x v="2"/>
    <n v="100"/>
    <x v="0"/>
    <s v="Pass"/>
    <n v="2025"/>
    <n v="12"/>
    <n v="26"/>
  </r>
  <r>
    <s v="APP00099"/>
    <d v="2025-12-25T00:00:00"/>
    <x v="4"/>
    <n v="7"/>
    <x v="0"/>
    <n v="88.4"/>
    <x v="0"/>
    <s v="Pass"/>
    <n v="2025"/>
    <n v="12"/>
    <n v="25"/>
  </r>
  <r>
    <s v="APP00167"/>
    <d v="2025-12-23T00:00:00"/>
    <x v="1"/>
    <n v="4"/>
    <x v="0"/>
    <n v="81.400000000000006"/>
    <x v="0"/>
    <s v="Pass"/>
    <n v="2025"/>
    <n v="12"/>
    <n v="23"/>
  </r>
  <r>
    <s v="APP00144"/>
    <d v="2025-12-23T00:00:00"/>
    <x v="3"/>
    <n v="7"/>
    <x v="3"/>
    <n v="70.7"/>
    <x v="1"/>
    <s v="Pass"/>
    <n v="2025"/>
    <n v="12"/>
    <n v="23"/>
  </r>
  <r>
    <s v="APP00177"/>
    <d v="2025-12-22T00:00:00"/>
    <x v="4"/>
    <n v="15"/>
    <x v="0"/>
    <n v="60.5"/>
    <x v="1"/>
    <s v="Fail"/>
    <n v="2025"/>
    <n v="12"/>
    <n v="22"/>
  </r>
  <r>
    <s v="APP00066"/>
    <d v="2025-12-22T00:00:00"/>
    <x v="2"/>
    <n v="9"/>
    <x v="4"/>
    <n v="45.1"/>
    <x v="1"/>
    <s v="Fail"/>
    <n v="2025"/>
    <n v="12"/>
    <n v="22"/>
  </r>
  <r>
    <s v="APP00020"/>
    <d v="2025-12-21T00:00:00"/>
    <x v="4"/>
    <n v="1"/>
    <x v="2"/>
    <n v="89.1"/>
    <x v="3"/>
    <s v="Pass"/>
    <n v="2025"/>
    <n v="12"/>
    <n v="21"/>
  </r>
  <r>
    <s v="APP00101"/>
    <d v="2025-12-19T00:00:00"/>
    <x v="3"/>
    <n v="3"/>
    <x v="2"/>
    <n v="72.8"/>
    <x v="1"/>
    <s v="Pass"/>
    <n v="2025"/>
    <n v="12"/>
    <n v="19"/>
  </r>
  <r>
    <s v="APP00135"/>
    <d v="2025-12-19T00:00:00"/>
    <x v="0"/>
    <n v="9"/>
    <x v="2"/>
    <n v="66.3"/>
    <x v="1"/>
    <s v="Fail"/>
    <n v="2025"/>
    <n v="12"/>
    <n v="19"/>
  </r>
  <r>
    <s v="APP00237"/>
    <d v="2025-12-14T00:00:00"/>
    <x v="1"/>
    <n v="9"/>
    <x v="2"/>
    <n v="71.400000000000006"/>
    <x v="2"/>
    <s v="Pass"/>
    <n v="2025"/>
    <n v="12"/>
    <n v="14"/>
  </r>
  <r>
    <s v="APP00017"/>
    <d v="2025-12-11T00:00:00"/>
    <x v="4"/>
    <n v="7"/>
    <x v="2"/>
    <n v="66.7"/>
    <x v="1"/>
    <s v="Fail"/>
    <n v="2025"/>
    <n v="12"/>
    <n v="11"/>
  </r>
  <r>
    <s v="APP00227"/>
    <d v="2025-12-10T00:00:00"/>
    <x v="3"/>
    <n v="10"/>
    <x v="0"/>
    <n v="57.1"/>
    <x v="1"/>
    <s v="Fail"/>
    <n v="2025"/>
    <n v="12"/>
    <n v="10"/>
  </r>
  <r>
    <s v="APP00033"/>
    <d v="2025-12-09T00:00:00"/>
    <x v="1"/>
    <n v="11"/>
    <x v="4"/>
    <n v="70.3"/>
    <x v="3"/>
    <s v="Pass"/>
    <n v="2025"/>
    <n v="12"/>
    <n v="9"/>
  </r>
  <r>
    <s v="APP00025"/>
    <d v="2025-12-01T00:00:00"/>
    <x v="4"/>
    <n v="6"/>
    <x v="2"/>
    <n v="79.2"/>
    <x v="2"/>
    <s v="Pass"/>
    <n v="2025"/>
    <n v="12"/>
    <n v="1"/>
  </r>
  <r>
    <s v="APP00216"/>
    <d v="2025-11-29T00:00:00"/>
    <x v="3"/>
    <n v="7"/>
    <x v="1"/>
    <n v="81.5"/>
    <x v="0"/>
    <s v="Pass"/>
    <n v="2025"/>
    <n v="11"/>
    <n v="29"/>
  </r>
  <r>
    <s v="APP00162"/>
    <d v="2025-11-29T00:00:00"/>
    <x v="0"/>
    <n v="5"/>
    <x v="0"/>
    <n v="72.5"/>
    <x v="2"/>
    <s v="Pass"/>
    <n v="2025"/>
    <n v="11"/>
    <n v="29"/>
  </r>
  <r>
    <s v="APP00052"/>
    <d v="2025-11-29T00:00:00"/>
    <x v="6"/>
    <n v="7"/>
    <x v="2"/>
    <n v="67.8"/>
    <x v="3"/>
    <s v="Fail"/>
    <n v="2025"/>
    <n v="11"/>
    <n v="29"/>
  </r>
  <r>
    <s v="APP00183"/>
    <d v="2025-11-27T00:00:00"/>
    <x v="4"/>
    <n v="11"/>
    <x v="1"/>
    <n v="92.5"/>
    <x v="0"/>
    <s v="Pass"/>
    <n v="2025"/>
    <n v="11"/>
    <n v="27"/>
  </r>
  <r>
    <s v="APP00249"/>
    <d v="2025-11-25T00:00:00"/>
    <x v="0"/>
    <n v="13"/>
    <x v="1"/>
    <n v="90.4"/>
    <x v="0"/>
    <s v="Pass"/>
    <n v="2025"/>
    <n v="11"/>
    <n v="25"/>
  </r>
  <r>
    <s v="APP00089"/>
    <d v="2025-11-25T00:00:00"/>
    <x v="6"/>
    <n v="10"/>
    <x v="0"/>
    <n v="86.6"/>
    <x v="0"/>
    <s v="Pass"/>
    <n v="2025"/>
    <n v="11"/>
    <n v="25"/>
  </r>
  <r>
    <s v="APP00076"/>
    <d v="2025-11-24T00:00:00"/>
    <x v="5"/>
    <n v="4"/>
    <x v="0"/>
    <n v="85.3"/>
    <x v="0"/>
    <s v="Pass"/>
    <n v="2025"/>
    <n v="11"/>
    <n v="24"/>
  </r>
  <r>
    <s v="APP00035"/>
    <d v="2025-11-24T00:00:00"/>
    <x v="6"/>
    <n v="7"/>
    <x v="0"/>
    <n v="68.099999999999994"/>
    <x v="1"/>
    <s v="Fail"/>
    <n v="2025"/>
    <n v="11"/>
    <n v="24"/>
  </r>
  <r>
    <s v="APP00272"/>
    <d v="2025-11-21T00:00:00"/>
    <x v="3"/>
    <n v="1"/>
    <x v="0"/>
    <n v="74"/>
    <x v="3"/>
    <s v="Pass"/>
    <n v="2025"/>
    <n v="11"/>
    <n v="21"/>
  </r>
  <r>
    <s v="APP00225"/>
    <d v="2025-11-20T00:00:00"/>
    <x v="4"/>
    <n v="3"/>
    <x v="1"/>
    <n v="65.900000000000006"/>
    <x v="2"/>
    <s v="Fail"/>
    <n v="2025"/>
    <n v="11"/>
    <n v="20"/>
  </r>
  <r>
    <s v="APP00014"/>
    <d v="2025-11-20T00:00:00"/>
    <x v="6"/>
    <n v="12"/>
    <x v="2"/>
    <n v="63.2"/>
    <x v="2"/>
    <s v="Fail"/>
    <n v="2025"/>
    <n v="11"/>
    <n v="20"/>
  </r>
  <r>
    <s v="APP00152"/>
    <d v="2025-11-14T00:00:00"/>
    <x v="2"/>
    <n v="7"/>
    <x v="1"/>
    <n v="95.4"/>
    <x v="2"/>
    <s v="Pass"/>
    <n v="2025"/>
    <n v="11"/>
    <n v="14"/>
  </r>
  <r>
    <s v="APP00234"/>
    <d v="2025-11-13T00:00:00"/>
    <x v="2"/>
    <n v="0"/>
    <x v="0"/>
    <n v="49.7"/>
    <x v="2"/>
    <s v="Fail"/>
    <n v="2025"/>
    <n v="11"/>
    <n v="13"/>
  </r>
  <r>
    <s v="APP00251"/>
    <d v="2025-11-11T00:00:00"/>
    <x v="2"/>
    <n v="12"/>
    <x v="0"/>
    <n v="69.099999999999994"/>
    <x v="2"/>
    <s v="Fail"/>
    <n v="2025"/>
    <n v="11"/>
    <n v="11"/>
  </r>
  <r>
    <s v="APP00140"/>
    <d v="2025-11-08T00:00:00"/>
    <x v="6"/>
    <n v="3"/>
    <x v="0"/>
    <n v="66.2"/>
    <x v="2"/>
    <s v="Fail"/>
    <n v="2025"/>
    <n v="11"/>
    <n v="8"/>
  </r>
  <r>
    <s v="APP00195"/>
    <d v="2025-11-05T00:00:00"/>
    <x v="0"/>
    <n v="3"/>
    <x v="0"/>
    <n v="67.099999999999994"/>
    <x v="3"/>
    <s v="Fail"/>
    <n v="2025"/>
    <n v="11"/>
    <n v="5"/>
  </r>
  <r>
    <s v="APP00149"/>
    <d v="2025-11-01T00:00:00"/>
    <x v="0"/>
    <n v="7"/>
    <x v="0"/>
    <n v="65.5"/>
    <x v="2"/>
    <s v="Fail"/>
    <n v="2025"/>
    <n v="11"/>
    <n v="1"/>
  </r>
  <r>
    <s v="APP00115"/>
    <d v="2025-10-31T00:00:00"/>
    <x v="4"/>
    <n v="15"/>
    <x v="0"/>
    <n v="78.5"/>
    <x v="1"/>
    <s v="Pass"/>
    <n v="2025"/>
    <n v="10"/>
    <n v="31"/>
  </r>
  <r>
    <s v="APP00181"/>
    <d v="2025-10-31T00:00:00"/>
    <x v="6"/>
    <n v="7"/>
    <x v="0"/>
    <n v="70.599999999999994"/>
    <x v="2"/>
    <s v="Pass"/>
    <n v="2025"/>
    <n v="10"/>
    <n v="31"/>
  </r>
  <r>
    <s v="APP00179"/>
    <d v="2025-10-31T00:00:00"/>
    <x v="6"/>
    <n v="0"/>
    <x v="0"/>
    <n v="47"/>
    <x v="1"/>
    <s v="Fail"/>
    <n v="2025"/>
    <n v="10"/>
    <n v="31"/>
  </r>
  <r>
    <s v="APP00105"/>
    <d v="2025-10-29T00:00:00"/>
    <x v="0"/>
    <n v="14"/>
    <x v="0"/>
    <n v="100"/>
    <x v="3"/>
    <s v="Pass"/>
    <n v="2025"/>
    <n v="10"/>
    <n v="29"/>
  </r>
  <r>
    <s v="APP00047"/>
    <d v="2025-10-28T00:00:00"/>
    <x v="6"/>
    <n v="11"/>
    <x v="2"/>
    <n v="79.400000000000006"/>
    <x v="2"/>
    <s v="Pass"/>
    <n v="2025"/>
    <n v="10"/>
    <n v="28"/>
  </r>
  <r>
    <s v="APP00109"/>
    <d v="2025-10-24T00:00:00"/>
    <x v="4"/>
    <n v="8"/>
    <x v="2"/>
    <n v="96.6"/>
    <x v="0"/>
    <s v="Pass"/>
    <n v="2025"/>
    <n v="10"/>
    <n v="24"/>
  </r>
  <r>
    <s v="APP00062"/>
    <d v="2025-10-22T00:00:00"/>
    <x v="4"/>
    <n v="2"/>
    <x v="3"/>
    <n v="87.7"/>
    <x v="0"/>
    <s v="Pass"/>
    <n v="2025"/>
    <n v="10"/>
    <n v="22"/>
  </r>
  <r>
    <s v="APP00075"/>
    <d v="2025-10-20T00:00:00"/>
    <x v="1"/>
    <n v="12"/>
    <x v="0"/>
    <n v="93"/>
    <x v="0"/>
    <s v="Pass"/>
    <n v="2025"/>
    <n v="10"/>
    <n v="20"/>
  </r>
  <r>
    <s v="APP00157"/>
    <d v="2025-10-20T00:00:00"/>
    <x v="1"/>
    <n v="14"/>
    <x v="2"/>
    <n v="71.599999999999994"/>
    <x v="3"/>
    <s v="Pass"/>
    <n v="2025"/>
    <n v="10"/>
    <n v="20"/>
  </r>
  <r>
    <s v="APP00121"/>
    <d v="2025-10-18T00:00:00"/>
    <x v="6"/>
    <n v="7"/>
    <x v="0"/>
    <n v="82.4"/>
    <x v="0"/>
    <s v="Pass"/>
    <n v="2025"/>
    <n v="10"/>
    <n v="18"/>
  </r>
  <r>
    <s v="APP00013"/>
    <d v="2025-10-17T00:00:00"/>
    <x v="6"/>
    <n v="3"/>
    <x v="2"/>
    <n v="100"/>
    <x v="0"/>
    <s v="Pass"/>
    <n v="2025"/>
    <n v="10"/>
    <n v="17"/>
  </r>
  <r>
    <s v="APP00199"/>
    <d v="2025-10-16T00:00:00"/>
    <x v="3"/>
    <n v="0"/>
    <x v="0"/>
    <n v="58.2"/>
    <x v="1"/>
    <s v="Fail"/>
    <n v="2025"/>
    <n v="10"/>
    <n v="16"/>
  </r>
  <r>
    <s v="APP00048"/>
    <d v="2025-10-10T00:00:00"/>
    <x v="2"/>
    <n v="1"/>
    <x v="0"/>
    <n v="80.3"/>
    <x v="1"/>
    <s v="Pass"/>
    <n v="2025"/>
    <n v="10"/>
    <n v="10"/>
  </r>
  <r>
    <s v="APP00292"/>
    <d v="2025-10-10T00:00:00"/>
    <x v="2"/>
    <n v="7"/>
    <x v="0"/>
    <n v="79.599999999999994"/>
    <x v="3"/>
    <s v="Pass"/>
    <n v="2025"/>
    <n v="10"/>
    <n v="10"/>
  </r>
  <r>
    <s v="APP00233"/>
    <d v="2025-10-10T00:00:00"/>
    <x v="4"/>
    <n v="5"/>
    <x v="0"/>
    <n v="75.2"/>
    <x v="3"/>
    <s v="Pass"/>
    <n v="2025"/>
    <n v="10"/>
    <n v="10"/>
  </r>
  <r>
    <s v="APP00026"/>
    <d v="2025-10-10T00:00:00"/>
    <x v="4"/>
    <n v="13"/>
    <x v="0"/>
    <n v="74.5"/>
    <x v="2"/>
    <s v="Pass"/>
    <n v="2025"/>
    <n v="10"/>
    <n v="10"/>
  </r>
  <r>
    <s v="APP00090"/>
    <d v="2025-10-10T00:00:00"/>
    <x v="4"/>
    <n v="10"/>
    <x v="1"/>
    <n v="74"/>
    <x v="2"/>
    <s v="Pass"/>
    <n v="2025"/>
    <n v="10"/>
    <n v="10"/>
  </r>
  <r>
    <s v="APP00286"/>
    <d v="2025-10-10T00:00:00"/>
    <x v="1"/>
    <n v="3"/>
    <x v="0"/>
    <n v="67.8"/>
    <x v="2"/>
    <s v="Fail"/>
    <n v="2025"/>
    <n v="10"/>
    <n v="10"/>
  </r>
  <r>
    <s v="APP00285"/>
    <d v="2025-10-10T00:00:00"/>
    <x v="0"/>
    <n v="2"/>
    <x v="0"/>
    <n v="66"/>
    <x v="1"/>
    <s v="Fail"/>
    <n v="2025"/>
    <n v="10"/>
    <n v="10"/>
  </r>
  <r>
    <s v="APP00088"/>
    <d v="2025-10-10T00:00:00"/>
    <x v="4"/>
    <n v="12"/>
    <x v="0"/>
    <n v="65.3"/>
    <x v="2"/>
    <s v="Fail"/>
    <n v="2025"/>
    <n v="10"/>
    <n v="10"/>
  </r>
  <r>
    <s v="APP00126"/>
    <d v="2025-10-10T00:00:00"/>
    <x v="1"/>
    <n v="6"/>
    <x v="3"/>
    <n v="65.099999999999994"/>
    <x v="3"/>
    <s v="Fail"/>
    <n v="2025"/>
    <n v="10"/>
    <n v="10"/>
  </r>
  <r>
    <s v="APP00230"/>
    <d v="2025-10-10T00:00:00"/>
    <x v="4"/>
    <n v="10"/>
    <x v="0"/>
    <n v="64"/>
    <x v="1"/>
    <s v="Fail"/>
    <n v="2025"/>
    <n v="10"/>
    <n v="10"/>
  </r>
  <r>
    <s v="APP00201"/>
    <d v="2025-10-10T00:00:00"/>
    <x v="6"/>
    <n v="5"/>
    <x v="2"/>
    <n v="61.4"/>
    <x v="2"/>
    <s v="Fail"/>
    <n v="2025"/>
    <n v="10"/>
    <n v="10"/>
  </r>
  <r>
    <s v="APP00007"/>
    <d v="2025-10-10T00:00:00"/>
    <x v="4"/>
    <n v="6"/>
    <x v="0"/>
    <n v="60.6"/>
    <x v="3"/>
    <s v="Fail"/>
    <n v="2025"/>
    <n v="10"/>
    <n v="10"/>
  </r>
  <r>
    <s v="APP00091"/>
    <d v="2025-10-10T00:00:00"/>
    <x v="1"/>
    <n v="13"/>
    <x v="0"/>
    <n v="60.4"/>
    <x v="3"/>
    <s v="Fail"/>
    <n v="2025"/>
    <n v="10"/>
    <n v="10"/>
  </r>
  <r>
    <s v="MISSING_ID_012"/>
    <d v="2025-10-10T00:00:00"/>
    <x v="4"/>
    <n v="1"/>
    <x v="0"/>
    <n v="59.1"/>
    <x v="1"/>
    <s v="Fail"/>
    <n v="2025"/>
    <n v="10"/>
    <n v="10"/>
  </r>
  <r>
    <s v="APP00143"/>
    <d v="2025-10-10T00:00:00"/>
    <x v="2"/>
    <n v="9"/>
    <x v="0"/>
    <n v="56.4"/>
    <x v="2"/>
    <s v="Fail"/>
    <n v="2025"/>
    <n v="10"/>
    <n v="10"/>
  </r>
  <r>
    <s v="APP00190"/>
    <d v="2025-10-10T00:00:00"/>
    <x v="2"/>
    <n v="7"/>
    <x v="0"/>
    <n v="54.5"/>
    <x v="1"/>
    <s v="Fail"/>
    <n v="2025"/>
    <n v="10"/>
    <n v="10"/>
  </r>
  <r>
    <s v="APP00163"/>
    <d v="2025-10-10T00:00:00"/>
    <x v="2"/>
    <n v="0"/>
    <x v="0"/>
    <n v="47"/>
    <x v="2"/>
    <s v="Fail"/>
    <n v="2025"/>
    <n v="10"/>
    <n v="10"/>
  </r>
  <r>
    <s v="APP00034"/>
    <d v="2025-10-08T00:00:00"/>
    <x v="5"/>
    <n v="12"/>
    <x v="0"/>
    <n v="64.599999999999994"/>
    <x v="2"/>
    <s v="Fail"/>
    <n v="2025"/>
    <n v="10"/>
    <n v="8"/>
  </r>
  <r>
    <s v="APP00150"/>
    <d v="2025-09-29T00:00:00"/>
    <x v="2"/>
    <n v="9"/>
    <x v="0"/>
    <n v="78.599999999999994"/>
    <x v="2"/>
    <s v="Pass"/>
    <n v="2025"/>
    <n v="9"/>
    <n v="29"/>
  </r>
  <r>
    <s v="APP00125"/>
    <d v="2025-09-29T00:00:00"/>
    <x v="4"/>
    <n v="14"/>
    <x v="0"/>
    <n v="45.8"/>
    <x v="2"/>
    <s v="Fail"/>
    <n v="2025"/>
    <n v="9"/>
    <n v="29"/>
  </r>
  <r>
    <s v="MISSING_ID_001"/>
    <d v="2025-09-27T00:00:00"/>
    <x v="1"/>
    <n v="14"/>
    <x v="2"/>
    <n v="81.3"/>
    <x v="0"/>
    <s v="Pass"/>
    <n v="2025"/>
    <n v="9"/>
    <n v="27"/>
  </r>
  <r>
    <s v="APP00068"/>
    <d v="2025-09-26T00:00:00"/>
    <x v="1"/>
    <n v="1"/>
    <x v="2"/>
    <n v="74"/>
    <x v="2"/>
    <s v="Pass"/>
    <n v="2025"/>
    <n v="9"/>
    <n v="26"/>
  </r>
  <r>
    <s v="APP00027"/>
    <d v="2025-09-22T00:00:00"/>
    <x v="0"/>
    <n v="5"/>
    <x v="0"/>
    <n v="59.2"/>
    <x v="3"/>
    <s v="Fail"/>
    <n v="2025"/>
    <n v="9"/>
    <n v="22"/>
  </r>
  <r>
    <s v="APP00023"/>
    <d v="2025-09-19T00:00:00"/>
    <x v="2"/>
    <n v="5"/>
    <x v="2"/>
    <n v="56.6"/>
    <x v="3"/>
    <s v="Fail"/>
    <n v="2025"/>
    <n v="9"/>
    <n v="19"/>
  </r>
  <r>
    <s v="APP00079"/>
    <d v="2025-09-18T00:00:00"/>
    <x v="4"/>
    <n v="7"/>
    <x v="0"/>
    <n v="52.1"/>
    <x v="3"/>
    <s v="Fail"/>
    <n v="2025"/>
    <n v="9"/>
    <n v="18"/>
  </r>
  <r>
    <s v="APP00003"/>
    <d v="2025-09-16T00:00:00"/>
    <x v="6"/>
    <n v="14"/>
    <x v="1"/>
    <n v="68.7"/>
    <x v="2"/>
    <s v="Fail"/>
    <n v="2025"/>
    <n v="9"/>
    <n v="16"/>
  </r>
  <r>
    <s v="APP00243"/>
    <d v="2025-09-16T00:00:00"/>
    <x v="1"/>
    <n v="7"/>
    <x v="2"/>
    <n v="59.4"/>
    <x v="2"/>
    <s v="Fail"/>
    <n v="2025"/>
    <n v="9"/>
    <n v="16"/>
  </r>
  <r>
    <s v="APP00073"/>
    <d v="2025-09-14T00:00:00"/>
    <x v="1"/>
    <n v="2"/>
    <x v="2"/>
    <n v="74"/>
    <x v="2"/>
    <s v="Pass"/>
    <n v="2025"/>
    <n v="9"/>
    <n v="14"/>
  </r>
  <r>
    <s v="APP00139"/>
    <d v="2025-09-13T00:00:00"/>
    <x v="3"/>
    <n v="11"/>
    <x v="0"/>
    <n v="83.6"/>
    <x v="0"/>
    <s v="Pass"/>
    <n v="2025"/>
    <n v="9"/>
    <n v="13"/>
  </r>
  <r>
    <s v="APP00009"/>
    <d v="2025-09-13T00:00:00"/>
    <x v="1"/>
    <n v="1"/>
    <x v="0"/>
    <n v="61.6"/>
    <x v="1"/>
    <s v="Fail"/>
    <n v="2025"/>
    <n v="9"/>
    <n v="13"/>
  </r>
  <r>
    <s v="APP00069"/>
    <d v="2025-09-10T00:00:00"/>
    <x v="0"/>
    <n v="14"/>
    <x v="0"/>
    <n v="63.9"/>
    <x v="3"/>
    <s v="Fail"/>
    <n v="2025"/>
    <n v="9"/>
    <n v="10"/>
  </r>
  <r>
    <s v="APP00186"/>
    <d v="2025-09-06T00:00:00"/>
    <x v="1"/>
    <n v="15"/>
    <x v="0"/>
    <n v="81.099999999999994"/>
    <x v="0"/>
    <s v="Pass"/>
    <n v="2025"/>
    <n v="9"/>
    <n v="6"/>
  </r>
  <r>
    <s v="APP00277"/>
    <d v="2025-09-03T00:00:00"/>
    <x v="3"/>
    <n v="9"/>
    <x v="0"/>
    <n v="93.3"/>
    <x v="3"/>
    <s v="Pass"/>
    <n v="2025"/>
    <n v="9"/>
    <n v="3"/>
  </r>
  <r>
    <s v="APP00039"/>
    <d v="2025-09-01T00:00:00"/>
    <x v="2"/>
    <n v="7"/>
    <x v="0"/>
    <n v="80.2"/>
    <x v="0"/>
    <s v="Pass"/>
    <n v="2025"/>
    <n v="9"/>
    <n v="1"/>
  </r>
  <r>
    <s v="APP00106"/>
    <d v="2025-08-30T00:00:00"/>
    <x v="2"/>
    <n v="9"/>
    <x v="1"/>
    <n v="56.9"/>
    <x v="3"/>
    <s v="Fail"/>
    <n v="2025"/>
    <n v="8"/>
    <n v="30"/>
  </r>
  <r>
    <s v="MISSING_ID_002"/>
    <d v="2025-08-29T00:00:00"/>
    <x v="2"/>
    <n v="0"/>
    <x v="0"/>
    <n v="59.6"/>
    <x v="1"/>
    <s v="Fail"/>
    <n v="2025"/>
    <n v="8"/>
    <n v="29"/>
  </r>
  <r>
    <s v="APP00193"/>
    <d v="2025-08-26T00:00:00"/>
    <x v="2"/>
    <n v="10"/>
    <x v="4"/>
    <n v="74"/>
    <x v="0"/>
    <s v="Pass"/>
    <n v="2025"/>
    <n v="8"/>
    <n v="26"/>
  </r>
  <r>
    <s v="APP00002"/>
    <d v="2025-08-26T00:00:00"/>
    <x v="5"/>
    <n v="10"/>
    <x v="0"/>
    <n v="73.099999999999994"/>
    <x v="3"/>
    <s v="Pass"/>
    <n v="2025"/>
    <n v="8"/>
    <n v="26"/>
  </r>
  <r>
    <s v="APP00161"/>
    <d v="2025-08-23T00:00:00"/>
    <x v="3"/>
    <n v="10"/>
    <x v="0"/>
    <n v="90.9"/>
    <x v="0"/>
    <s v="Pass"/>
    <n v="2025"/>
    <n v="8"/>
    <n v="23"/>
  </r>
  <r>
    <s v="APP00226"/>
    <d v="2025-08-23T00:00:00"/>
    <x v="6"/>
    <n v="14"/>
    <x v="0"/>
    <n v="84.2"/>
    <x v="0"/>
    <s v="Pass"/>
    <n v="2025"/>
    <n v="8"/>
    <n v="23"/>
  </r>
  <r>
    <s v="APP00128"/>
    <d v="2025-08-23T00:00:00"/>
    <x v="4"/>
    <n v="13"/>
    <x v="0"/>
    <n v="41.7"/>
    <x v="3"/>
    <s v="Fail"/>
    <n v="2025"/>
    <n v="8"/>
    <n v="23"/>
  </r>
  <r>
    <s v="APP00078"/>
    <d v="2025-08-21T00:00:00"/>
    <x v="4"/>
    <n v="12"/>
    <x v="0"/>
    <n v="88.5"/>
    <x v="0"/>
    <s v="Pass"/>
    <n v="2025"/>
    <n v="8"/>
    <n v="21"/>
  </r>
  <r>
    <s v="APP00041"/>
    <d v="2025-08-21T00:00:00"/>
    <x v="1"/>
    <n v="3"/>
    <x v="2"/>
    <n v="58.8"/>
    <x v="1"/>
    <s v="Fail"/>
    <n v="2025"/>
    <n v="8"/>
    <n v="21"/>
  </r>
  <r>
    <s v="APP00094"/>
    <d v="2025-08-20T00:00:00"/>
    <x v="3"/>
    <n v="10"/>
    <x v="3"/>
    <n v="73.7"/>
    <x v="2"/>
    <s v="Pass"/>
    <n v="2025"/>
    <n v="8"/>
    <n v="20"/>
  </r>
  <r>
    <s v="APP00133"/>
    <d v="2025-08-18T00:00:00"/>
    <x v="0"/>
    <n v="13"/>
    <x v="0"/>
    <n v="74"/>
    <x v="3"/>
    <s v="Pass"/>
    <n v="2025"/>
    <n v="8"/>
    <n v="18"/>
  </r>
  <r>
    <s v="APP00137"/>
    <d v="2025-08-17T00:00:00"/>
    <x v="3"/>
    <n v="7"/>
    <x v="2"/>
    <n v="89.5"/>
    <x v="0"/>
    <s v="Pass"/>
    <n v="2025"/>
    <n v="8"/>
    <n v="17"/>
  </r>
  <r>
    <s v="APP00024"/>
    <d v="2025-08-16T00:00:00"/>
    <x v="5"/>
    <n v="15"/>
    <x v="2"/>
    <n v="78"/>
    <x v="2"/>
    <s v="Pass"/>
    <n v="2025"/>
    <n v="8"/>
    <n v="16"/>
  </r>
  <r>
    <s v="APP00262"/>
    <d v="2025-08-14T00:00:00"/>
    <x v="4"/>
    <n v="2"/>
    <x v="4"/>
    <n v="74"/>
    <x v="1"/>
    <s v="Pass"/>
    <n v="2025"/>
    <n v="8"/>
    <n v="14"/>
  </r>
  <r>
    <s v="APP00254"/>
    <d v="2025-08-14T00:00:00"/>
    <x v="6"/>
    <n v="8"/>
    <x v="2"/>
    <n v="63.1"/>
    <x v="2"/>
    <s v="Fail"/>
    <n v="2025"/>
    <n v="8"/>
    <n v="14"/>
  </r>
  <r>
    <s v="APP00111"/>
    <d v="2025-08-07T00:00:00"/>
    <x v="4"/>
    <n v="10"/>
    <x v="0"/>
    <n v="64.8"/>
    <x v="3"/>
    <s v="Fail"/>
    <n v="2025"/>
    <n v="8"/>
    <n v="7"/>
  </r>
  <r>
    <s v="APP00010"/>
    <d v="2025-08-05T00:00:00"/>
    <x v="2"/>
    <n v="12"/>
    <x v="0"/>
    <n v="85.3"/>
    <x v="0"/>
    <s v="Pass"/>
    <n v="2025"/>
    <n v="8"/>
    <n v="5"/>
  </r>
  <r>
    <s v="MISSING_ID_006"/>
    <d v="2025-08-03T00:00:00"/>
    <x v="4"/>
    <n v="12"/>
    <x v="0"/>
    <n v="100"/>
    <x v="0"/>
    <s v="Pass"/>
    <n v="2025"/>
    <n v="8"/>
    <n v="3"/>
  </r>
  <r>
    <s v="APP00273"/>
    <d v="2025-08-02T00:00:00"/>
    <x v="4"/>
    <n v="13"/>
    <x v="3"/>
    <n v="87.6"/>
    <x v="0"/>
    <s v="Pass"/>
    <n v="2025"/>
    <n v="8"/>
    <n v="2"/>
  </r>
  <r>
    <s v="APP00093"/>
    <d v="2025-08-01T00:00:00"/>
    <x v="2"/>
    <n v="15"/>
    <x v="2"/>
    <n v="87.7"/>
    <x v="0"/>
    <s v="Pass"/>
    <n v="2025"/>
    <n v="8"/>
    <n v="1"/>
  </r>
  <r>
    <s v="APP00172"/>
    <d v="2025-07-26T00:00:00"/>
    <x v="2"/>
    <n v="14"/>
    <x v="0"/>
    <n v="80.5"/>
    <x v="3"/>
    <s v="Pass"/>
    <n v="2025"/>
    <n v="7"/>
    <n v="26"/>
  </r>
  <r>
    <s v="APP00250"/>
    <d v="2025-07-26T00:00:00"/>
    <x v="0"/>
    <n v="6"/>
    <x v="3"/>
    <n v="58.1"/>
    <x v="3"/>
    <s v="Fail"/>
    <n v="2025"/>
    <n v="7"/>
    <n v="26"/>
  </r>
  <r>
    <s v="APP00011"/>
    <d v="2025-07-21T00:00:00"/>
    <x v="0"/>
    <n v="6"/>
    <x v="0"/>
    <n v="59.5"/>
    <x v="1"/>
    <s v="Fail"/>
    <n v="2025"/>
    <n v="7"/>
    <n v="21"/>
  </r>
  <r>
    <s v="APP00083"/>
    <d v="2025-07-16T00:00:00"/>
    <x v="1"/>
    <n v="0"/>
    <x v="0"/>
    <n v="89.6"/>
    <x v="2"/>
    <s v="Pass"/>
    <n v="2025"/>
    <n v="7"/>
    <n v="16"/>
  </r>
  <r>
    <s v="MISSING_ID_014"/>
    <d v="2025-07-14T00:00:00"/>
    <x v="3"/>
    <s v="-"/>
    <x v="0"/>
    <n v="75.7"/>
    <x v="1"/>
    <s v="Pass"/>
    <n v="2025"/>
    <n v="7"/>
    <n v="14"/>
  </r>
  <r>
    <s v="APP00127"/>
    <d v="2025-07-14T00:00:00"/>
    <x v="0"/>
    <n v="9"/>
    <x v="0"/>
    <n v="69.8"/>
    <x v="3"/>
    <s v="Fail"/>
    <n v="2025"/>
    <n v="7"/>
    <n v="14"/>
  </r>
  <r>
    <s v="APP00015"/>
    <d v="2025-07-05T00:00:00"/>
    <x v="1"/>
    <n v="7"/>
    <x v="0"/>
    <n v="58.5"/>
    <x v="2"/>
    <s v="Fail"/>
    <n v="2025"/>
    <n v="7"/>
    <n v="5"/>
  </r>
  <r>
    <s v="APP00255"/>
    <d v="2025-07-05T00:00:00"/>
    <x v="3"/>
    <n v="9"/>
    <x v="2"/>
    <n v="51.9"/>
    <x v="2"/>
    <s v="Fail"/>
    <n v="2025"/>
    <n v="7"/>
    <n v="5"/>
  </r>
  <r>
    <s v="APP00120"/>
    <d v="2025-07-03T00:00:00"/>
    <x v="3"/>
    <n v="12"/>
    <x v="2"/>
    <n v="91.8"/>
    <x v="0"/>
    <s v="Pass"/>
    <n v="2025"/>
    <n v="7"/>
    <n v="3"/>
  </r>
  <r>
    <s v="APP00282"/>
    <d v="2025-07-03T00:00:00"/>
    <x v="6"/>
    <n v="13"/>
    <x v="1"/>
    <n v="73.8"/>
    <x v="2"/>
    <s v="Pass"/>
    <n v="2025"/>
    <n v="7"/>
    <n v="3"/>
  </r>
  <r>
    <s v="APP00156"/>
    <d v="2025-06-30T00:00:00"/>
    <x v="0"/>
    <n v="0"/>
    <x v="1"/>
    <n v="100"/>
    <x v="1"/>
    <s v="Pass"/>
    <n v="2025"/>
    <n v="6"/>
    <n v="30"/>
  </r>
  <r>
    <s v="APP00182"/>
    <d v="2025-06-28T00:00:00"/>
    <x v="6"/>
    <n v="4"/>
    <x v="0"/>
    <n v="87.6"/>
    <x v="0"/>
    <s v="Pass"/>
    <n v="2025"/>
    <n v="6"/>
    <n v="28"/>
  </r>
  <r>
    <s v="APP00218"/>
    <d v="2025-06-28T00:00:00"/>
    <x v="3"/>
    <n v="9"/>
    <x v="0"/>
    <n v="84.1"/>
    <x v="0"/>
    <s v="Pass"/>
    <n v="2025"/>
    <n v="6"/>
    <n v="28"/>
  </r>
  <r>
    <s v="APP00085"/>
    <d v="2025-06-27T00:00:00"/>
    <x v="3"/>
    <n v="5"/>
    <x v="2"/>
    <n v="68.2"/>
    <x v="1"/>
    <s v="Fail"/>
    <n v="2025"/>
    <n v="6"/>
    <n v="27"/>
  </r>
  <r>
    <s v="APP00029"/>
    <d v="2025-06-25T00:00:00"/>
    <x v="5"/>
    <n v="7"/>
    <x v="0"/>
    <n v="77.099999999999994"/>
    <x v="2"/>
    <s v="Pass"/>
    <n v="2025"/>
    <n v="6"/>
    <n v="25"/>
  </r>
  <r>
    <s v="APP00223"/>
    <d v="2025-06-21T00:00:00"/>
    <x v="1"/>
    <n v="15"/>
    <x v="0"/>
    <n v="91.3"/>
    <x v="0"/>
    <s v="Pass"/>
    <n v="2025"/>
    <n v="6"/>
    <n v="21"/>
  </r>
  <r>
    <s v="APP00138"/>
    <d v="2025-06-20T00:00:00"/>
    <x v="2"/>
    <n v="7"/>
    <x v="0"/>
    <n v="89.2"/>
    <x v="3"/>
    <s v="Pass"/>
    <n v="2025"/>
    <n v="6"/>
    <n v="20"/>
  </r>
  <r>
    <s v="APP00259"/>
    <d v="2025-06-19T00:00:00"/>
    <x v="2"/>
    <n v="5"/>
    <x v="1"/>
    <n v="98.8"/>
    <x v="0"/>
    <s v="Pass"/>
    <n v="2025"/>
    <n v="6"/>
    <n v="19"/>
  </r>
  <r>
    <s v="APP00129"/>
    <d v="2025-06-11T00:00:00"/>
    <x v="6"/>
    <n v="7"/>
    <x v="0"/>
    <n v="71.900000000000006"/>
    <x v="3"/>
    <s v="Pass"/>
    <n v="2025"/>
    <n v="6"/>
    <n v="11"/>
  </r>
  <r>
    <s v="APP00180"/>
    <d v="2025-06-10T00:00:00"/>
    <x v="0"/>
    <n v="3"/>
    <x v="0"/>
    <n v="86.3"/>
    <x v="0"/>
    <s v="Pass"/>
    <n v="2025"/>
    <n v="6"/>
    <n v="10"/>
  </r>
  <r>
    <s v="APP00248"/>
    <d v="2025-06-08T00:00:00"/>
    <x v="0"/>
    <n v="5"/>
    <x v="2"/>
    <n v="53.9"/>
    <x v="3"/>
    <s v="Fail"/>
    <n v="2025"/>
    <n v="6"/>
    <n v="8"/>
  </r>
  <r>
    <s v="APP00081"/>
    <d v="2025-06-07T00:00:00"/>
    <x v="6"/>
    <n v="7"/>
    <x v="2"/>
    <n v="92.4"/>
    <x v="0"/>
    <s v="Pass"/>
    <n v="2025"/>
    <n v="6"/>
    <n v="7"/>
  </r>
  <r>
    <s v="APP00155"/>
    <d v="2025-06-06T00:00:00"/>
    <x v="6"/>
    <n v="7"/>
    <x v="0"/>
    <n v="79"/>
    <x v="2"/>
    <s v="Pass"/>
    <n v="2025"/>
    <n v="6"/>
    <n v="6"/>
  </r>
  <r>
    <s v="APP00031"/>
    <d v="2025-06-05T00:00:00"/>
    <x v="4"/>
    <n v="5"/>
    <x v="4"/>
    <n v="85.1"/>
    <x v="0"/>
    <s v="Pass"/>
    <n v="2025"/>
    <n v="6"/>
    <n v="5"/>
  </r>
  <r>
    <s v="APP00095"/>
    <d v="2025-06-05T00:00:00"/>
    <x v="4"/>
    <n v="8"/>
    <x v="4"/>
    <n v="45.7"/>
    <x v="3"/>
    <s v="Fail"/>
    <n v="2025"/>
    <n v="6"/>
    <n v="5"/>
  </r>
  <r>
    <s v="APP00242"/>
    <d v="2025-06-04T00:00:00"/>
    <x v="3"/>
    <n v="7"/>
    <x v="4"/>
    <n v="67.8"/>
    <x v="3"/>
    <s v="Fail"/>
    <n v="2025"/>
    <n v="6"/>
    <n v="4"/>
  </r>
  <r>
    <s v="APP00054"/>
    <d v="2025-06-03T00:00:00"/>
    <x v="6"/>
    <n v="0"/>
    <x v="2"/>
    <n v="88"/>
    <x v="3"/>
    <s v="Pass"/>
    <n v="2025"/>
    <n v="6"/>
    <n v="3"/>
  </r>
  <r>
    <s v="APP00185"/>
    <d v="2025-06-03T00:00:00"/>
    <x v="0"/>
    <n v="0"/>
    <x v="1"/>
    <n v="72.900000000000006"/>
    <x v="1"/>
    <s v="Pass"/>
    <n v="2025"/>
    <n v="6"/>
    <n v="3"/>
  </r>
  <r>
    <s v="APP00158"/>
    <d v="2025-06-01T00:00:00"/>
    <x v="4"/>
    <n v="2"/>
    <x v="0"/>
    <n v="80.599999999999994"/>
    <x v="0"/>
    <s v="Pass"/>
    <n v="2025"/>
    <n v="6"/>
    <n v="1"/>
  </r>
  <r>
    <s v="APP00191"/>
    <d v="2025-05-31T00:00:00"/>
    <x v="2"/>
    <n v="13"/>
    <x v="0"/>
    <n v="81.2"/>
    <x v="0"/>
    <s v="Pass"/>
    <n v="2025"/>
    <n v="5"/>
    <n v="31"/>
  </r>
  <r>
    <s v="APP00270"/>
    <d v="2025-05-30T00:00:00"/>
    <x v="5"/>
    <n v="3"/>
    <x v="2"/>
    <n v="76.400000000000006"/>
    <x v="2"/>
    <s v="Pass"/>
    <n v="2025"/>
    <n v="5"/>
    <n v="30"/>
  </r>
  <r>
    <s v="APP00267"/>
    <d v="2025-05-30T00:00:00"/>
    <x v="3"/>
    <n v="9"/>
    <x v="2"/>
    <n v="71.900000000000006"/>
    <x v="3"/>
    <s v="Pass"/>
    <n v="2025"/>
    <n v="5"/>
    <n v="30"/>
  </r>
  <r>
    <s v="APP00154"/>
    <d v="2025-05-24T00:00:00"/>
    <x v="4"/>
    <n v="14"/>
    <x v="3"/>
    <n v="63.8"/>
    <x v="1"/>
    <s v="Fail"/>
    <n v="2025"/>
    <n v="5"/>
    <n v="24"/>
  </r>
  <r>
    <s v="APP00012"/>
    <d v="2025-05-20T00:00:00"/>
    <x v="4"/>
    <n v="4"/>
    <x v="1"/>
    <n v="66.3"/>
    <x v="3"/>
    <s v="Fail"/>
    <n v="2025"/>
    <n v="5"/>
    <n v="20"/>
  </r>
  <r>
    <s v="APP00212"/>
    <d v="2025-05-18T00:00:00"/>
    <x v="3"/>
    <n v="15"/>
    <x v="2"/>
    <n v="80.3"/>
    <x v="0"/>
    <s v="Pass"/>
    <n v="2025"/>
    <n v="5"/>
    <n v="18"/>
  </r>
  <r>
    <s v="APP00028"/>
    <d v="2025-05-18T00:00:00"/>
    <x v="1"/>
    <n v="0"/>
    <x v="2"/>
    <n v="55.6"/>
    <x v="1"/>
    <s v="Fail"/>
    <n v="2025"/>
    <n v="5"/>
    <n v="18"/>
  </r>
  <r>
    <s v="APP00019"/>
    <d v="2025-05-14T00:00:00"/>
    <x v="3"/>
    <n v="14"/>
    <x v="0"/>
    <n v="86.3"/>
    <x v="0"/>
    <s v="Pass"/>
    <n v="2025"/>
    <n v="5"/>
    <n v="14"/>
  </r>
  <r>
    <s v="APP00236"/>
    <d v="2025-05-09T00:00:00"/>
    <x v="4"/>
    <n v="15"/>
    <x v="0"/>
    <n v="80.900000000000006"/>
    <x v="0"/>
    <s v="Pass"/>
    <n v="2025"/>
    <n v="5"/>
    <n v="9"/>
  </r>
  <r>
    <s v="APP00042"/>
    <d v="2025-05-07T00:00:00"/>
    <x v="0"/>
    <n v="2"/>
    <x v="3"/>
    <n v="50.8"/>
    <x v="3"/>
    <s v="Fail"/>
    <n v="2025"/>
    <n v="5"/>
    <n v="7"/>
  </r>
  <r>
    <s v="APP00021"/>
    <d v="2025-05-06T00:00:00"/>
    <x v="3"/>
    <n v="0"/>
    <x v="3"/>
    <n v="59.7"/>
    <x v="1"/>
    <s v="Fail"/>
    <n v="2025"/>
    <n v="5"/>
    <n v="6"/>
  </r>
  <r>
    <s v="APP00051"/>
    <d v="2025-05-03T00:00:00"/>
    <x v="4"/>
    <n v="5"/>
    <x v="2"/>
    <n v="42.5"/>
    <x v="1"/>
    <s v="Fail"/>
    <n v="2025"/>
    <n v="5"/>
    <n v="3"/>
  </r>
  <r>
    <s v="APP00097"/>
    <d v="2025-04-30T00:00:00"/>
    <x v="6"/>
    <n v="15"/>
    <x v="0"/>
    <n v="58.1"/>
    <x v="2"/>
    <s v="Fail"/>
    <n v="2025"/>
    <n v="4"/>
    <n v="30"/>
  </r>
  <r>
    <s v="MISSING_ID_011"/>
    <d v="2025-04-30T00:00:00"/>
    <x v="1"/>
    <n v="0"/>
    <x v="0"/>
    <n v="54.9"/>
    <x v="2"/>
    <s v="Fail"/>
    <n v="2025"/>
    <n v="4"/>
    <n v="30"/>
  </r>
  <r>
    <s v="APP00268"/>
    <d v="2025-04-26T00:00:00"/>
    <x v="3"/>
    <n v="3"/>
    <x v="0"/>
    <n v="60.4"/>
    <x v="3"/>
    <s v="Fail"/>
    <n v="2025"/>
    <n v="4"/>
    <n v="26"/>
  </r>
  <r>
    <s v="APP00232"/>
    <d v="2025-04-26T00:00:00"/>
    <x v="0"/>
    <n v="3"/>
    <x v="2"/>
    <n v="59.2"/>
    <x v="1"/>
    <s v="Fail"/>
    <n v="2025"/>
    <n v="4"/>
    <n v="26"/>
  </r>
  <r>
    <s v="APP00290"/>
    <d v="2025-04-20T00:00:00"/>
    <x v="2"/>
    <n v="12"/>
    <x v="2"/>
    <n v="73.7"/>
    <x v="2"/>
    <s v="Pass"/>
    <n v="2025"/>
    <n v="4"/>
    <n v="20"/>
  </r>
  <r>
    <s v="APP00124"/>
    <d v="2025-04-10T00:00:00"/>
    <x v="4"/>
    <n v="1"/>
    <x v="3"/>
    <n v="57"/>
    <x v="1"/>
    <s v="Fail"/>
    <n v="2025"/>
    <n v="4"/>
    <n v="10"/>
  </r>
  <r>
    <s v="APP00067"/>
    <d v="2025-04-06T00:00:00"/>
    <x v="3"/>
    <n v="14"/>
    <x v="0"/>
    <n v="77.599999999999994"/>
    <x v="2"/>
    <s v="Pass"/>
    <n v="2025"/>
    <n v="4"/>
    <n v="6"/>
  </r>
  <r>
    <s v="APP00253"/>
    <d v="2025-04-06T00:00:00"/>
    <x v="1"/>
    <n v="14"/>
    <x v="0"/>
    <n v="52.4"/>
    <x v="2"/>
    <s v="Fail"/>
    <n v="2025"/>
    <n v="4"/>
    <n v="6"/>
  </r>
  <r>
    <s v="APP00215"/>
    <d v="2025-04-01T00:00:00"/>
    <x v="0"/>
    <n v="8"/>
    <x v="0"/>
    <n v="84.8"/>
    <x v="0"/>
    <s v="Pass"/>
    <n v="2025"/>
    <n v="4"/>
    <n v="1"/>
  </r>
  <r>
    <s v="APP00147"/>
    <d v="2025-03-30T00:00:00"/>
    <x v="5"/>
    <n v="3"/>
    <x v="2"/>
    <n v="74.3"/>
    <x v="1"/>
    <s v="Pass"/>
    <n v="2025"/>
    <n v="3"/>
    <n v="30"/>
  </r>
  <r>
    <s v="APP00036"/>
    <d v="2025-03-30T00:00:00"/>
    <x v="5"/>
    <n v="8"/>
    <x v="4"/>
    <n v="74"/>
    <x v="0"/>
    <s v="Pass"/>
    <n v="2025"/>
    <n v="3"/>
    <n v="30"/>
  </r>
  <r>
    <s v="MISSING_ID_010"/>
    <d v="2025-03-29T00:00:00"/>
    <x v="0"/>
    <n v="11"/>
    <x v="0"/>
    <n v="83.2"/>
    <x v="0"/>
    <s v="Pass"/>
    <n v="2025"/>
    <n v="3"/>
    <n v="29"/>
  </r>
  <r>
    <s v="APP00210"/>
    <d v="2025-03-28T00:00:00"/>
    <x v="6"/>
    <n v="12"/>
    <x v="2"/>
    <n v="74.900000000000006"/>
    <x v="3"/>
    <s v="Pass"/>
    <n v="2025"/>
    <n v="3"/>
    <n v="28"/>
  </r>
  <r>
    <s v="APP00187"/>
    <d v="2025-03-27T00:00:00"/>
    <x v="2"/>
    <n v="2"/>
    <x v="0"/>
    <n v="76.400000000000006"/>
    <x v="1"/>
    <s v="Pass"/>
    <n v="2025"/>
    <n v="3"/>
    <n v="27"/>
  </r>
  <r>
    <s v="APP00208"/>
    <d v="2025-03-23T00:00:00"/>
    <x v="2"/>
    <n v="4"/>
    <x v="1"/>
    <n v="92.2"/>
    <x v="0"/>
    <s v="Pass"/>
    <n v="2025"/>
    <n v="3"/>
    <n v="23"/>
  </r>
  <r>
    <s v="APP00058"/>
    <d v="2025-03-22T00:00:00"/>
    <x v="0"/>
    <n v="7"/>
    <x v="1"/>
    <n v="46.8"/>
    <x v="2"/>
    <s v="Fail"/>
    <n v="2025"/>
    <n v="3"/>
    <n v="22"/>
  </r>
  <r>
    <s v="APP00271"/>
    <d v="2025-03-21T00:00:00"/>
    <x v="4"/>
    <n v="6"/>
    <x v="3"/>
    <n v="78.3"/>
    <x v="1"/>
    <s v="Pass"/>
    <n v="2025"/>
    <n v="3"/>
    <n v="21"/>
  </r>
  <r>
    <s v="APP00159"/>
    <d v="2025-03-20T00:00:00"/>
    <x v="3"/>
    <n v="12"/>
    <x v="1"/>
    <n v="74"/>
    <x v="0"/>
    <s v="Pass"/>
    <n v="2025"/>
    <n v="3"/>
    <n v="20"/>
  </r>
  <r>
    <s v="APP00077"/>
    <d v="2025-03-17T00:00:00"/>
    <x v="1"/>
    <n v="5"/>
    <x v="2"/>
    <n v="54"/>
    <x v="2"/>
    <s v="Fail"/>
    <n v="2025"/>
    <n v="3"/>
    <n v="17"/>
  </r>
  <r>
    <s v="APP00260"/>
    <d v="2025-03-12T00:00:00"/>
    <x v="3"/>
    <n v="14"/>
    <x v="3"/>
    <n v="100"/>
    <x v="3"/>
    <s v="Pass"/>
    <n v="2025"/>
    <n v="3"/>
    <n v="12"/>
  </r>
  <r>
    <s v="APP00063"/>
    <d v="2025-03-09T00:00:00"/>
    <x v="6"/>
    <n v="5"/>
    <x v="3"/>
    <n v="72.400000000000006"/>
    <x v="1"/>
    <s v="Pass"/>
    <n v="2025"/>
    <n v="3"/>
    <n v="9"/>
  </r>
  <r>
    <s v="APP00092"/>
    <d v="2025-03-08T00:00:00"/>
    <x v="2"/>
    <n v="3"/>
    <x v="0"/>
    <n v="85.7"/>
    <x v="0"/>
    <s v="Pass"/>
    <n v="2025"/>
    <n v="3"/>
    <n v="8"/>
  </r>
  <r>
    <s v="APP00123"/>
    <d v="2025-03-08T00:00:00"/>
    <x v="3"/>
    <n v="9"/>
    <x v="2"/>
    <n v="57"/>
    <x v="2"/>
    <s v="Fail"/>
    <n v="2025"/>
    <n v="3"/>
    <n v="8"/>
  </r>
  <r>
    <s v="APP00153"/>
    <d v="2025-03-05T00:00:00"/>
    <x v="4"/>
    <n v="5"/>
    <x v="0"/>
    <n v="75.400000000000006"/>
    <x v="3"/>
    <s v="Pass"/>
    <n v="2025"/>
    <n v="3"/>
    <n v="5"/>
  </r>
  <r>
    <s v="MISSING_ID_008"/>
    <d v="2025-03-04T00:00:00"/>
    <x v="1"/>
    <n v="12"/>
    <x v="4"/>
    <n v="86.1"/>
    <x v="0"/>
    <s v="Pass"/>
    <n v="2025"/>
    <n v="3"/>
    <n v="4"/>
  </r>
  <r>
    <s v="APP00117"/>
    <d v="2025-03-03T00:00:00"/>
    <x v="4"/>
    <n v="11"/>
    <x v="0"/>
    <n v="74"/>
    <x v="3"/>
    <s v="Pass"/>
    <n v="2025"/>
    <n v="3"/>
    <n v="3"/>
  </r>
  <r>
    <s v="APP00164"/>
    <d v="2025-03-02T00:00:00"/>
    <x v="3"/>
    <n v="11"/>
    <x v="0"/>
    <n v="77.900000000000006"/>
    <x v="3"/>
    <s v="Pass"/>
    <n v="2025"/>
    <n v="3"/>
    <n v="2"/>
  </r>
  <r>
    <s v="APP00274"/>
    <d v="2025-03-02T00:00:00"/>
    <x v="1"/>
    <n v="12"/>
    <x v="2"/>
    <n v="69.5"/>
    <x v="3"/>
    <s v="Fail"/>
    <n v="2025"/>
    <n v="3"/>
    <n v="2"/>
  </r>
  <r>
    <s v="APP00258"/>
    <d v="2025-02-26T00:00:00"/>
    <x v="4"/>
    <n v="2"/>
    <x v="0"/>
    <n v="83.7"/>
    <x v="0"/>
    <s v="Pass"/>
    <n v="2025"/>
    <n v="2"/>
    <n v="26"/>
  </r>
  <r>
    <s v="APP00170"/>
    <d v="2025-02-24T00:00:00"/>
    <x v="4"/>
    <n v="14"/>
    <x v="0"/>
    <n v="89.6"/>
    <x v="0"/>
    <s v="Pass"/>
    <n v="2025"/>
    <n v="2"/>
    <n v="24"/>
  </r>
  <r>
    <s v="APP00252"/>
    <d v="2025-02-21T00:00:00"/>
    <x v="1"/>
    <n v="14"/>
    <x v="0"/>
    <n v="100"/>
    <x v="0"/>
    <s v="Pass"/>
    <n v="2025"/>
    <n v="2"/>
    <n v="21"/>
  </r>
  <r>
    <s v="APP00130"/>
    <d v="2025-02-17T00:00:00"/>
    <x v="2"/>
    <n v="3"/>
    <x v="2"/>
    <n v="69.8"/>
    <x v="3"/>
    <s v="Fail"/>
    <n v="2025"/>
    <n v="2"/>
    <n v="17"/>
  </r>
  <r>
    <s v="APP00072"/>
    <d v="2025-02-16T00:00:00"/>
    <x v="2"/>
    <n v="15"/>
    <x v="0"/>
    <n v="46.6"/>
    <x v="1"/>
    <s v="Fail"/>
    <n v="2025"/>
    <n v="2"/>
    <n v="16"/>
  </r>
  <r>
    <s v="APP00165"/>
    <d v="2025-02-15T00:00:00"/>
    <x v="1"/>
    <n v="2"/>
    <x v="2"/>
    <n v="74.400000000000006"/>
    <x v="1"/>
    <s v="Pass"/>
    <n v="2025"/>
    <n v="2"/>
    <n v="15"/>
  </r>
  <r>
    <s v="APP00204"/>
    <d v="2025-02-10T00:00:00"/>
    <x v="3"/>
    <n v="13"/>
    <x v="1"/>
    <n v="87"/>
    <x v="0"/>
    <s v="Pass"/>
    <n v="2025"/>
    <n v="2"/>
    <n v="10"/>
  </r>
  <r>
    <s v="APP00203"/>
    <d v="2025-02-10T00:00:00"/>
    <x v="3"/>
    <n v="0"/>
    <x v="0"/>
    <n v="66.599999999999994"/>
    <x v="3"/>
    <s v="Fail"/>
    <n v="2025"/>
    <n v="2"/>
    <n v="10"/>
  </r>
  <r>
    <s v="APP00176"/>
    <d v="2025-02-09T00:00:00"/>
    <x v="6"/>
    <n v="15"/>
    <x v="2"/>
    <n v="59.3"/>
    <x v="2"/>
    <s v="Fail"/>
    <n v="2025"/>
    <n v="2"/>
    <n v="9"/>
  </r>
  <r>
    <s v="APP00278"/>
    <d v="2025-02-08T00:00:00"/>
    <x v="6"/>
    <n v="4"/>
    <x v="4"/>
    <n v="91"/>
    <x v="3"/>
    <s v="Pass"/>
    <n v="2025"/>
    <n v="2"/>
    <n v="8"/>
  </r>
  <r>
    <s v="MISSING_ID_003"/>
    <d v="2025-02-08T00:00:00"/>
    <x v="3"/>
    <n v="12"/>
    <x v="0"/>
    <n v="65.7"/>
    <x v="1"/>
    <s v="Fail"/>
    <n v="2025"/>
    <n v="2"/>
    <n v="8"/>
  </r>
  <r>
    <s v="APP00171"/>
    <d v="2025-02-07T00:00:00"/>
    <x v="2"/>
    <n v="1"/>
    <x v="0"/>
    <n v="58.8"/>
    <x v="3"/>
    <s v="Fail"/>
    <n v="2025"/>
    <n v="2"/>
    <n v="7"/>
  </r>
  <r>
    <s v="APP00281"/>
    <d v="2025-02-04T00:00:00"/>
    <x v="4"/>
    <n v="12"/>
    <x v="0"/>
    <n v="91.1"/>
    <x v="0"/>
    <s v="Pass"/>
    <n v="2025"/>
    <n v="2"/>
    <n v="4"/>
  </r>
  <r>
    <s v="APP00113"/>
    <d v="2025-01-29T00:00:00"/>
    <x v="4"/>
    <n v="1"/>
    <x v="0"/>
    <n v="78.599999999999994"/>
    <x v="2"/>
    <s v="Pass"/>
    <n v="2025"/>
    <n v="1"/>
    <n v="29"/>
  </r>
  <r>
    <s v="APP00168"/>
    <d v="2025-01-28T00:00:00"/>
    <x v="3"/>
    <n v="7"/>
    <x v="2"/>
    <n v="52.8"/>
    <x v="1"/>
    <s v="Fail"/>
    <n v="2025"/>
    <n v="1"/>
    <n v="28"/>
  </r>
  <r>
    <s v="MISSING_ID_013"/>
    <d v="2025-01-27T00:00:00"/>
    <x v="6"/>
    <n v="0"/>
    <x v="0"/>
    <n v="62.9"/>
    <x v="1"/>
    <s v="Fail"/>
    <n v="2025"/>
    <n v="1"/>
    <n v="27"/>
  </r>
  <r>
    <s v="APP00197"/>
    <d v="2025-01-26T00:00:00"/>
    <x v="6"/>
    <n v="4"/>
    <x v="0"/>
    <n v="66.5"/>
    <x v="2"/>
    <s v="Fail"/>
    <n v="2025"/>
    <n v="1"/>
    <n v="26"/>
  </r>
  <r>
    <s v="APP00104"/>
    <d v="2025-01-25T00:00:00"/>
    <x v="1"/>
    <n v="15"/>
    <x v="4"/>
    <n v="88.7"/>
    <x v="0"/>
    <s v="Pass"/>
    <n v="2025"/>
    <n v="1"/>
    <n v="25"/>
  </r>
  <r>
    <s v="APP00050"/>
    <d v="2025-01-25T00:00:00"/>
    <x v="4"/>
    <n v="5"/>
    <x v="2"/>
    <n v="75.5"/>
    <x v="3"/>
    <s v="Pass"/>
    <n v="2025"/>
    <n v="1"/>
    <n v="25"/>
  </r>
  <r>
    <s v="APP00206"/>
    <d v="2025-01-23T00:00:00"/>
    <x v="3"/>
    <n v="13"/>
    <x v="2"/>
    <n v="91.9"/>
    <x v="0"/>
    <s v="Pass"/>
    <n v="2025"/>
    <n v="1"/>
    <n v="23"/>
  </r>
  <r>
    <s v="APP00119"/>
    <d v="2025-01-22T00:00:00"/>
    <x v="1"/>
    <n v="1"/>
    <x v="0"/>
    <n v="79.900000000000006"/>
    <x v="1"/>
    <s v="Pass"/>
    <n v="2025"/>
    <n v="1"/>
    <n v="22"/>
  </r>
  <r>
    <s v="APP00044"/>
    <d v="2025-01-21T00:00:00"/>
    <x v="1"/>
    <n v="1"/>
    <x v="0"/>
    <n v="75"/>
    <x v="2"/>
    <s v="Pass"/>
    <n v="2025"/>
    <n v="1"/>
    <n v="21"/>
  </r>
  <r>
    <s v="APP00166"/>
    <d v="2025-01-20T00:00:00"/>
    <x v="1"/>
    <n v="7"/>
    <x v="0"/>
    <n v="61.6"/>
    <x v="2"/>
    <s v="Fail"/>
    <n v="2025"/>
    <n v="1"/>
    <n v="20"/>
  </r>
  <r>
    <s v="APP00116"/>
    <d v="2025-01-18T00:00:00"/>
    <x v="4"/>
    <n v="0"/>
    <x v="0"/>
    <n v="83.7"/>
    <x v="0"/>
    <s v="Pass"/>
    <n v="2025"/>
    <n v="1"/>
    <n v="18"/>
  </r>
  <r>
    <s v="APP00264"/>
    <d v="2025-01-17T00:00:00"/>
    <x v="4"/>
    <n v="2"/>
    <x v="0"/>
    <n v="68.099999999999994"/>
    <x v="2"/>
    <s v="Fail"/>
    <n v="2025"/>
    <n v="1"/>
    <n v="17"/>
  </r>
  <r>
    <s v="APP00136"/>
    <d v="2025-01-11T00:00:00"/>
    <x v="4"/>
    <n v="6"/>
    <x v="1"/>
    <n v="70.099999999999994"/>
    <x v="2"/>
    <s v="Pass"/>
    <n v="2025"/>
    <n v="1"/>
    <n v="11"/>
  </r>
  <r>
    <s v="APP00287"/>
    <d v="2025-01-10T00:00:00"/>
    <x v="1"/>
    <n v="3"/>
    <x v="0"/>
    <n v="75.8"/>
    <x v="2"/>
    <s v="Pass"/>
    <n v="2025"/>
    <n v="1"/>
    <n v="10"/>
  </r>
  <r>
    <s v="APP00265"/>
    <d v="2025-01-08T00:00:00"/>
    <x v="2"/>
    <n v="2"/>
    <x v="0"/>
    <n v="70.900000000000006"/>
    <x v="3"/>
    <s v="Pass"/>
    <n v="2025"/>
    <n v="1"/>
    <n v="8"/>
  </r>
  <r>
    <s v="APP00238"/>
    <d v="2025-01-06T00:00:00"/>
    <x v="0"/>
    <n v="6"/>
    <x v="3"/>
    <n v="92.9"/>
    <x v="0"/>
    <s v="Pass"/>
    <n v="2025"/>
    <n v="1"/>
    <n v="6"/>
  </r>
  <r>
    <s v="APP00107"/>
    <d v="2025-01-03T00:00:00"/>
    <x v="2"/>
    <n v="13"/>
    <x v="3"/>
    <n v="37.6"/>
    <x v="3"/>
    <s v="Fail"/>
    <n v="2025"/>
    <n v="1"/>
    <n v="3"/>
  </r>
  <r>
    <s v="APP00070"/>
    <d v="2025-01-01T00:00:00"/>
    <x v="4"/>
    <n v="9"/>
    <x v="0"/>
    <n v="74"/>
    <x v="0"/>
    <s v="Pass"/>
    <n v="2025"/>
    <n v="1"/>
    <n v="1"/>
  </r>
  <r>
    <s v="APP00202"/>
    <d v="2025-01-01T00:00:00"/>
    <x v="5"/>
    <n v="4"/>
    <x v="0"/>
    <n v="74"/>
    <x v="1"/>
    <s v="Pass"/>
    <n v="2025"/>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81F71-77A2-4600-A6FB-00A6237A79C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3:F18" firstHeaderRow="1" firstDataRow="1" firstDataCol="1"/>
  <pivotFields count="11">
    <pivotField showAll="0"/>
    <pivotField numFmtId="14" showAll="0"/>
    <pivotField showAll="0">
      <items count="8">
        <item h="1" x="2"/>
        <item h="1" x="4"/>
        <item x="6"/>
        <item x="1"/>
        <item h="1" x="0"/>
        <item h="1" x="3"/>
        <item h="1" x="5"/>
        <item t="default"/>
      </items>
    </pivotField>
    <pivotField showAll="0"/>
    <pivotField showAll="0">
      <items count="6">
        <item h="1" x="0"/>
        <item h="1" x="1"/>
        <item x="2"/>
        <item h="1" x="4"/>
        <item h="1" x="3"/>
        <item t="default"/>
      </items>
    </pivotField>
    <pivotField numFmtId="164" showAll="0"/>
    <pivotField axis="axisRow" dataField="1" showAll="0">
      <items count="5">
        <item x="0"/>
        <item x="3"/>
        <item x="2"/>
        <item x="1"/>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Application_Status" fld="6" subtotal="count" baseField="0" baseItem="0"/>
  </dataFields>
  <formats count="2">
    <format dxfId="9">
      <pivotArea outline="0" collapsedLevelsAreSubtotals="1" fieldPosition="0"/>
    </format>
    <format dxfId="8">
      <pivotArea outline="0" collapsedLevelsAreSubtotals="1" fieldPosition="0"/>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6" count="1" selected="0">
            <x v="0"/>
          </reference>
        </references>
      </pivotArea>
    </chartFormat>
    <chartFormat chart="13" format="12">
      <pivotArea type="data" outline="0" fieldPosition="0">
        <references count="2">
          <reference field="4294967294" count="1" selected="0">
            <x v="0"/>
          </reference>
          <reference field="6" count="1" selected="0">
            <x v="1"/>
          </reference>
        </references>
      </pivotArea>
    </chartFormat>
    <chartFormat chart="13" format="13">
      <pivotArea type="data" outline="0" fieldPosition="0">
        <references count="2">
          <reference field="4294967294" count="1" selected="0">
            <x v="0"/>
          </reference>
          <reference field="6" count="1" selected="0">
            <x v="2"/>
          </reference>
        </references>
      </pivotArea>
    </chartFormat>
    <chartFormat chart="13" format="14">
      <pivotArea type="data" outline="0" fieldPosition="0">
        <references count="2">
          <reference field="4294967294" count="1" selected="0">
            <x v="0"/>
          </reference>
          <reference field="6"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4B99E8-27A3-47B4-BFE5-B5CA9A22674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E20:F23" firstHeaderRow="1" firstDataRow="1" firstDataCol="1"/>
  <pivotFields count="11">
    <pivotField showAll="0"/>
    <pivotField numFmtId="14" showAll="0"/>
    <pivotField axis="axisRow" showAll="0">
      <items count="8">
        <item h="1" x="2"/>
        <item h="1" x="4"/>
        <item x="6"/>
        <item x="1"/>
        <item h="1" x="0"/>
        <item h="1" x="3"/>
        <item h="1" x="5"/>
        <item t="default"/>
      </items>
    </pivotField>
    <pivotField dataField="1" showAll="0"/>
    <pivotField showAll="0">
      <items count="6">
        <item h="1" x="0"/>
        <item h="1" x="1"/>
        <item x="2"/>
        <item h="1" x="4"/>
        <item h="1" x="3"/>
        <item t="default"/>
      </items>
    </pivotField>
    <pivotField numFmtId="164" showAll="0"/>
    <pivotField showAll="0">
      <items count="5">
        <item x="0"/>
        <item x="3"/>
        <item x="2"/>
        <item x="1"/>
        <item t="default"/>
      </items>
    </pivotField>
    <pivotField showAll="0"/>
    <pivotField showAll="0"/>
    <pivotField showAll="0"/>
    <pivotField showAll="0"/>
  </pivotFields>
  <rowFields count="1">
    <field x="2"/>
  </rowFields>
  <rowItems count="3">
    <i>
      <x v="2"/>
    </i>
    <i>
      <x v="3"/>
    </i>
    <i t="grand">
      <x/>
    </i>
  </rowItems>
  <colItems count="1">
    <i/>
  </colItems>
  <dataFields count="1">
    <dataField name="Average of Experience_Years" fld="3" subtotal="average" baseField="2" baseItem="6"/>
  </dataFields>
  <formats count="2">
    <format dxfId="11">
      <pivotArea outline="0" collapsedLevelsAreSubtotals="1" fieldPosition="0"/>
    </format>
    <format dxfId="10">
      <pivotArea outline="0" collapsedLevelsAreSubtotals="1" fieldPosition="0"/>
    </format>
  </formats>
  <chartFormats count="16">
    <chartFormat chart="63" format="0" series="1">
      <pivotArea type="data" outline="0" fieldPosition="0">
        <references count="1">
          <reference field="4294967294" count="1" selected="0">
            <x v="0"/>
          </reference>
        </references>
      </pivotArea>
    </chartFormat>
    <chartFormat chart="63" format="1">
      <pivotArea type="data" outline="0" fieldPosition="0">
        <references count="2">
          <reference field="4294967294" count="1" selected="0">
            <x v="0"/>
          </reference>
          <reference field="2" count="1" selected="0">
            <x v="6"/>
          </reference>
        </references>
      </pivotArea>
    </chartFormat>
    <chartFormat chart="63" format="2">
      <pivotArea type="data" outline="0" fieldPosition="0">
        <references count="2">
          <reference field="4294967294" count="1" selected="0">
            <x v="0"/>
          </reference>
          <reference field="2" count="1" selected="0">
            <x v="5"/>
          </reference>
        </references>
      </pivotArea>
    </chartFormat>
    <chartFormat chart="63" format="3">
      <pivotArea type="data" outline="0" fieldPosition="0">
        <references count="2">
          <reference field="4294967294" count="1" selected="0">
            <x v="0"/>
          </reference>
          <reference field="2" count="1" selected="0">
            <x v="4"/>
          </reference>
        </references>
      </pivotArea>
    </chartFormat>
    <chartFormat chart="63" format="4">
      <pivotArea type="data" outline="0" fieldPosition="0">
        <references count="2">
          <reference field="4294967294" count="1" selected="0">
            <x v="0"/>
          </reference>
          <reference field="2" count="1" selected="0">
            <x v="3"/>
          </reference>
        </references>
      </pivotArea>
    </chartFormat>
    <chartFormat chart="63" format="5">
      <pivotArea type="data" outline="0" fieldPosition="0">
        <references count="2">
          <reference field="4294967294" count="1" selected="0">
            <x v="0"/>
          </reference>
          <reference field="2" count="1" selected="0">
            <x v="2"/>
          </reference>
        </references>
      </pivotArea>
    </chartFormat>
    <chartFormat chart="63" format="6">
      <pivotArea type="data" outline="0" fieldPosition="0">
        <references count="2">
          <reference field="4294967294" count="1" selected="0">
            <x v="0"/>
          </reference>
          <reference field="2" count="1" selected="0">
            <x v="1"/>
          </reference>
        </references>
      </pivotArea>
    </chartFormat>
    <chartFormat chart="63" format="7">
      <pivotArea type="data" outline="0" fieldPosition="0">
        <references count="2">
          <reference field="4294967294" count="1" selected="0">
            <x v="0"/>
          </reference>
          <reference field="2" count="1" selected="0">
            <x v="0"/>
          </reference>
        </references>
      </pivotArea>
    </chartFormat>
    <chartFormat chart="74" format="16" series="1">
      <pivotArea type="data" outline="0" fieldPosition="0">
        <references count="1">
          <reference field="4294967294" count="1" selected="0">
            <x v="0"/>
          </reference>
        </references>
      </pivotArea>
    </chartFormat>
    <chartFormat chart="74" format="17">
      <pivotArea type="data" outline="0" fieldPosition="0">
        <references count="2">
          <reference field="4294967294" count="1" selected="0">
            <x v="0"/>
          </reference>
          <reference field="2" count="1" selected="0">
            <x v="0"/>
          </reference>
        </references>
      </pivotArea>
    </chartFormat>
    <chartFormat chart="74" format="18">
      <pivotArea type="data" outline="0" fieldPosition="0">
        <references count="2">
          <reference field="4294967294" count="1" selected="0">
            <x v="0"/>
          </reference>
          <reference field="2" count="1" selected="0">
            <x v="1"/>
          </reference>
        </references>
      </pivotArea>
    </chartFormat>
    <chartFormat chart="74" format="19">
      <pivotArea type="data" outline="0" fieldPosition="0">
        <references count="2">
          <reference field="4294967294" count="1" selected="0">
            <x v="0"/>
          </reference>
          <reference field="2" count="1" selected="0">
            <x v="2"/>
          </reference>
        </references>
      </pivotArea>
    </chartFormat>
    <chartFormat chart="74" format="20">
      <pivotArea type="data" outline="0" fieldPosition="0">
        <references count="2">
          <reference field="4294967294" count="1" selected="0">
            <x v="0"/>
          </reference>
          <reference field="2" count="1" selected="0">
            <x v="3"/>
          </reference>
        </references>
      </pivotArea>
    </chartFormat>
    <chartFormat chart="74" format="21">
      <pivotArea type="data" outline="0" fieldPosition="0">
        <references count="2">
          <reference field="4294967294" count="1" selected="0">
            <x v="0"/>
          </reference>
          <reference field="2" count="1" selected="0">
            <x v="4"/>
          </reference>
        </references>
      </pivotArea>
    </chartFormat>
    <chartFormat chart="74" format="22">
      <pivotArea type="data" outline="0" fieldPosition="0">
        <references count="2">
          <reference field="4294967294" count="1" selected="0">
            <x v="0"/>
          </reference>
          <reference field="2" count="1" selected="0">
            <x v="5"/>
          </reference>
        </references>
      </pivotArea>
    </chartFormat>
    <chartFormat chart="74" format="23">
      <pivotArea type="data" outline="0" fieldPosition="0">
        <references count="2">
          <reference field="4294967294" count="1" selected="0">
            <x v="0"/>
          </reference>
          <reference field="2" count="1" selected="0">
            <x v="6"/>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49CB7-3695-4E37-BDC1-9E8418E7E84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G6" firstHeaderRow="1" firstDataRow="2" firstDataCol="1"/>
  <pivotFields count="11">
    <pivotField showAll="0"/>
    <pivotField numFmtId="14" showAll="0"/>
    <pivotField axis="axisRow" showAll="0">
      <items count="8">
        <item h="1" x="2"/>
        <item h="1" x="4"/>
        <item x="6"/>
        <item x="1"/>
        <item h="1" x="0"/>
        <item h="1" x="3"/>
        <item h="1" x="5"/>
        <item t="default"/>
      </items>
    </pivotField>
    <pivotField showAll="0"/>
    <pivotField showAll="0">
      <items count="6">
        <item h="1" x="0"/>
        <item h="1" x="1"/>
        <item x="2"/>
        <item h="1" x="4"/>
        <item h="1" x="3"/>
        <item t="default"/>
      </items>
    </pivotField>
    <pivotField numFmtId="164" showAll="0"/>
    <pivotField axis="axisCol" dataField="1" showAll="0">
      <items count="5">
        <item x="0"/>
        <item x="3"/>
        <item x="2"/>
        <item x="1"/>
        <item t="default"/>
      </items>
    </pivotField>
    <pivotField showAll="0"/>
    <pivotField showAll="0"/>
    <pivotField showAll="0"/>
    <pivotField showAll="0"/>
  </pivotFields>
  <rowFields count="1">
    <field x="2"/>
  </rowFields>
  <rowItems count="3">
    <i>
      <x v="2"/>
    </i>
    <i>
      <x v="3"/>
    </i>
    <i t="grand">
      <x/>
    </i>
  </rowItems>
  <colFields count="1">
    <field x="6"/>
  </colFields>
  <colItems count="5">
    <i>
      <x/>
    </i>
    <i>
      <x v="1"/>
    </i>
    <i>
      <x v="2"/>
    </i>
    <i>
      <x v="3"/>
    </i>
    <i t="grand">
      <x/>
    </i>
  </colItems>
  <dataFields count="1">
    <dataField name="Count of Application_Status" fld="6" subtotal="count" baseField="0" baseItem="0"/>
  </dataFields>
  <formats count="1">
    <format dxfId="12">
      <pivotArea outline="0" collapsedLevelsAreSubtotals="1" fieldPosition="0"/>
    </format>
  </formats>
  <chartFormats count="8">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3"/>
          </reference>
        </references>
      </pivotArea>
    </chartFormat>
    <chartFormat chart="17" format="8" series="1">
      <pivotArea type="data" outline="0" fieldPosition="0">
        <references count="2">
          <reference field="4294967294" count="1" selected="0">
            <x v="0"/>
          </reference>
          <reference field="6" count="1" selected="0">
            <x v="0"/>
          </reference>
        </references>
      </pivotArea>
    </chartFormat>
    <chartFormat chart="17" format="9" series="1">
      <pivotArea type="data" outline="0" fieldPosition="0">
        <references count="2">
          <reference field="4294967294" count="1" selected="0">
            <x v="0"/>
          </reference>
          <reference field="6" count="1" selected="0">
            <x v="1"/>
          </reference>
        </references>
      </pivotArea>
    </chartFormat>
    <chartFormat chart="17" format="10" series="1">
      <pivotArea type="data" outline="0" fieldPosition="0">
        <references count="2">
          <reference field="4294967294" count="1" selected="0">
            <x v="0"/>
          </reference>
          <reference field="6" count="1" selected="0">
            <x v="2"/>
          </reference>
        </references>
      </pivotArea>
    </chartFormat>
    <chartFormat chart="17" format="11" series="1">
      <pivotArea type="data" outline="0" fieldPosition="0">
        <references count="2">
          <reference field="4294967294" count="1" selected="0">
            <x v="0"/>
          </reference>
          <reference field="6"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F63A45-BBC5-4485-A2D6-135BD4CF3B2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13:C16" firstHeaderRow="1" firstDataRow="1" firstDataCol="1"/>
  <pivotFields count="11">
    <pivotField showAll="0"/>
    <pivotField numFmtId="14" showAll="0"/>
    <pivotField axis="axisRow" showAll="0">
      <items count="8">
        <item h="1" x="2"/>
        <item h="1" x="4"/>
        <item x="6"/>
        <item x="1"/>
        <item h="1" x="0"/>
        <item h="1" x="3"/>
        <item h="1" x="5"/>
        <item t="default"/>
      </items>
    </pivotField>
    <pivotField showAll="0"/>
    <pivotField showAll="0">
      <items count="6">
        <item h="1" x="0"/>
        <item h="1" x="1"/>
        <item x="2"/>
        <item h="1" x="4"/>
        <item h="1" x="3"/>
        <item t="default"/>
      </items>
    </pivotField>
    <pivotField dataField="1" numFmtId="164" showAll="0"/>
    <pivotField showAll="0">
      <items count="5">
        <item x="0"/>
        <item x="3"/>
        <item x="2"/>
        <item x="1"/>
        <item t="default"/>
      </items>
    </pivotField>
    <pivotField showAll="0"/>
    <pivotField showAll="0"/>
    <pivotField showAll="0"/>
    <pivotField showAll="0"/>
  </pivotFields>
  <rowFields count="1">
    <field x="2"/>
  </rowFields>
  <rowItems count="3">
    <i>
      <x v="2"/>
    </i>
    <i>
      <x v="3"/>
    </i>
    <i t="grand">
      <x/>
    </i>
  </rowItems>
  <colItems count="1">
    <i/>
  </colItems>
  <dataFields count="1">
    <dataField name="Sum of Interview_Score" fld="5" baseField="0" baseItem="0" numFmtId="164"/>
  </dataFields>
  <formats count="2">
    <format dxfId="14">
      <pivotArea outline="0" collapsedLevelsAreSubtotals="1" fieldPosition="0"/>
    </format>
    <format dxfId="13">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B76019-1F11-4D42-BF4E-23F19DB1DD1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F23:G26" firstHeaderRow="1" firstDataRow="1" firstDataCol="1"/>
  <pivotFields count="11">
    <pivotField showAll="0"/>
    <pivotField numFmtId="14" showAll="0"/>
    <pivotField axis="axisRow" showAll="0">
      <items count="8">
        <item h="1" x="2"/>
        <item h="1" x="4"/>
        <item x="6"/>
        <item x="1"/>
        <item h="1" x="0"/>
        <item h="1" x="3"/>
        <item h="1" x="5"/>
        <item t="default"/>
      </items>
    </pivotField>
    <pivotField dataField="1" showAll="0"/>
    <pivotField showAll="0">
      <items count="6">
        <item h="1" x="0"/>
        <item h="1" x="1"/>
        <item x="2"/>
        <item h="1" x="4"/>
        <item h="1" x="3"/>
        <item t="default"/>
      </items>
    </pivotField>
    <pivotField numFmtId="164" showAll="0"/>
    <pivotField showAll="0">
      <items count="5">
        <item x="0"/>
        <item x="3"/>
        <item x="2"/>
        <item x="1"/>
        <item t="default"/>
      </items>
    </pivotField>
    <pivotField showAll="0"/>
    <pivotField showAll="0"/>
    <pivotField showAll="0"/>
    <pivotField showAll="0"/>
  </pivotFields>
  <rowFields count="1">
    <field x="2"/>
  </rowFields>
  <rowItems count="3">
    <i>
      <x v="2"/>
    </i>
    <i>
      <x v="3"/>
    </i>
    <i t="grand">
      <x/>
    </i>
  </rowItems>
  <colItems count="1">
    <i/>
  </colItems>
  <dataFields count="1">
    <dataField name="Average of Experience_Years" fld="3" subtotal="average" baseField="2" baseItem="6"/>
  </dataFields>
  <formats count="2">
    <format dxfId="2">
      <pivotArea outline="0" collapsedLevelsAreSubtotals="1" fieldPosition="0"/>
    </format>
    <format dxfId="1">
      <pivotArea outline="0" collapsedLevelsAreSubtotals="1" fieldPosition="0"/>
    </format>
  </formats>
  <chartFormats count="16">
    <chartFormat chart="63" format="0" series="1">
      <pivotArea type="data" outline="0" fieldPosition="0">
        <references count="1">
          <reference field="4294967294" count="1" selected="0">
            <x v="0"/>
          </reference>
        </references>
      </pivotArea>
    </chartFormat>
    <chartFormat chart="63" format="1">
      <pivotArea type="data" outline="0" fieldPosition="0">
        <references count="2">
          <reference field="4294967294" count="1" selected="0">
            <x v="0"/>
          </reference>
          <reference field="2" count="1" selected="0">
            <x v="6"/>
          </reference>
        </references>
      </pivotArea>
    </chartFormat>
    <chartFormat chart="63" format="2">
      <pivotArea type="data" outline="0" fieldPosition="0">
        <references count="2">
          <reference field="4294967294" count="1" selected="0">
            <x v="0"/>
          </reference>
          <reference field="2" count="1" selected="0">
            <x v="5"/>
          </reference>
        </references>
      </pivotArea>
    </chartFormat>
    <chartFormat chart="63" format="3">
      <pivotArea type="data" outline="0" fieldPosition="0">
        <references count="2">
          <reference field="4294967294" count="1" selected="0">
            <x v="0"/>
          </reference>
          <reference field="2" count="1" selected="0">
            <x v="4"/>
          </reference>
        </references>
      </pivotArea>
    </chartFormat>
    <chartFormat chart="63" format="4">
      <pivotArea type="data" outline="0" fieldPosition="0">
        <references count="2">
          <reference field="4294967294" count="1" selected="0">
            <x v="0"/>
          </reference>
          <reference field="2" count="1" selected="0">
            <x v="3"/>
          </reference>
        </references>
      </pivotArea>
    </chartFormat>
    <chartFormat chart="63" format="5">
      <pivotArea type="data" outline="0" fieldPosition="0">
        <references count="2">
          <reference field="4294967294" count="1" selected="0">
            <x v="0"/>
          </reference>
          <reference field="2" count="1" selected="0">
            <x v="2"/>
          </reference>
        </references>
      </pivotArea>
    </chartFormat>
    <chartFormat chart="63" format="6">
      <pivotArea type="data" outline="0" fieldPosition="0">
        <references count="2">
          <reference field="4294967294" count="1" selected="0">
            <x v="0"/>
          </reference>
          <reference field="2" count="1" selected="0">
            <x v="1"/>
          </reference>
        </references>
      </pivotArea>
    </chartFormat>
    <chartFormat chart="63" format="7">
      <pivotArea type="data" outline="0" fieldPosition="0">
        <references count="2">
          <reference field="4294967294" count="1" selected="0">
            <x v="0"/>
          </reference>
          <reference field="2" count="1" selected="0">
            <x v="0"/>
          </reference>
        </references>
      </pivotArea>
    </chartFormat>
    <chartFormat chart="74" format="16" series="1">
      <pivotArea type="data" outline="0" fieldPosition="0">
        <references count="1">
          <reference field="4294967294" count="1" selected="0">
            <x v="0"/>
          </reference>
        </references>
      </pivotArea>
    </chartFormat>
    <chartFormat chart="74" format="17">
      <pivotArea type="data" outline="0" fieldPosition="0">
        <references count="2">
          <reference field="4294967294" count="1" selected="0">
            <x v="0"/>
          </reference>
          <reference field="2" count="1" selected="0">
            <x v="0"/>
          </reference>
        </references>
      </pivotArea>
    </chartFormat>
    <chartFormat chart="74" format="18">
      <pivotArea type="data" outline="0" fieldPosition="0">
        <references count="2">
          <reference field="4294967294" count="1" selected="0">
            <x v="0"/>
          </reference>
          <reference field="2" count="1" selected="0">
            <x v="1"/>
          </reference>
        </references>
      </pivotArea>
    </chartFormat>
    <chartFormat chart="74" format="19">
      <pivotArea type="data" outline="0" fieldPosition="0">
        <references count="2">
          <reference field="4294967294" count="1" selected="0">
            <x v="0"/>
          </reference>
          <reference field="2" count="1" selected="0">
            <x v="2"/>
          </reference>
        </references>
      </pivotArea>
    </chartFormat>
    <chartFormat chart="74" format="20">
      <pivotArea type="data" outline="0" fieldPosition="0">
        <references count="2">
          <reference field="4294967294" count="1" selected="0">
            <x v="0"/>
          </reference>
          <reference field="2" count="1" selected="0">
            <x v="3"/>
          </reference>
        </references>
      </pivotArea>
    </chartFormat>
    <chartFormat chart="74" format="21">
      <pivotArea type="data" outline="0" fieldPosition="0">
        <references count="2">
          <reference field="4294967294" count="1" selected="0">
            <x v="0"/>
          </reference>
          <reference field="2" count="1" selected="0">
            <x v="4"/>
          </reference>
        </references>
      </pivotArea>
    </chartFormat>
    <chartFormat chart="74" format="22">
      <pivotArea type="data" outline="0" fieldPosition="0">
        <references count="2">
          <reference field="4294967294" count="1" selected="0">
            <x v="0"/>
          </reference>
          <reference field="2" count="1" selected="0">
            <x v="5"/>
          </reference>
        </references>
      </pivotArea>
    </chartFormat>
    <chartFormat chart="74" format="23">
      <pivotArea type="data" outline="0" fieldPosition="0">
        <references count="2">
          <reference field="4294967294" count="1" selected="0">
            <x v="0"/>
          </reference>
          <reference field="2" count="1" selected="0">
            <x v="6"/>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9EC1E0-510B-4D2C-A023-3CA0A6E0CB3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22:I25" firstHeaderRow="1" firstDataRow="1" firstDataCol="1"/>
  <pivotFields count="11">
    <pivotField showAll="0"/>
    <pivotField numFmtId="14" showAll="0"/>
    <pivotField axis="axisRow" showAll="0">
      <items count="8">
        <item h="1" x="2"/>
        <item h="1" x="4"/>
        <item x="6"/>
        <item x="1"/>
        <item h="1" x="0"/>
        <item h="1" x="3"/>
        <item h="1" x="5"/>
        <item t="default"/>
      </items>
    </pivotField>
    <pivotField showAll="0"/>
    <pivotField showAll="0">
      <items count="6">
        <item h="1" x="0"/>
        <item h="1" x="1"/>
        <item x="2"/>
        <item h="1" x="4"/>
        <item h="1" x="3"/>
        <item t="default"/>
      </items>
    </pivotField>
    <pivotField dataField="1" numFmtId="164" showAll="0"/>
    <pivotField showAll="0">
      <items count="5">
        <item x="0"/>
        <item x="3"/>
        <item x="2"/>
        <item x="1"/>
        <item t="default"/>
      </items>
    </pivotField>
    <pivotField showAll="0"/>
    <pivotField showAll="0"/>
    <pivotField showAll="0"/>
    <pivotField showAll="0"/>
  </pivotFields>
  <rowFields count="1">
    <field x="2"/>
  </rowFields>
  <rowItems count="3">
    <i>
      <x v="2"/>
    </i>
    <i>
      <x v="3"/>
    </i>
    <i t="grand">
      <x/>
    </i>
  </rowItems>
  <colItems count="1">
    <i/>
  </colItems>
  <dataFields count="1">
    <dataField name="Sum of Interview_Score" fld="5" baseField="0" baseItem="0" numFmtId="164"/>
  </dataFields>
  <formats count="2">
    <format dxfId="4">
      <pivotArea outline="0" collapsedLevelsAreSubtotals="1" fieldPosition="0"/>
    </format>
    <format dxfId="3">
      <pivotArea outline="0" collapsedLevelsAreSubtotals="1" fieldPosition="0"/>
    </format>
  </formats>
  <chartFormats count="1">
    <chartFormat chart="16" format="0"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EEF92C-3E15-4988-BF85-093BEAA354B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2:E27" firstHeaderRow="1" firstDataRow="1" firstDataCol="1"/>
  <pivotFields count="11">
    <pivotField showAll="0"/>
    <pivotField numFmtId="14" showAll="0"/>
    <pivotField showAll="0">
      <items count="8">
        <item h="1" x="2"/>
        <item h="1" x="4"/>
        <item x="6"/>
        <item x="1"/>
        <item h="1" x="0"/>
        <item h="1" x="3"/>
        <item h="1" x="5"/>
        <item t="default"/>
      </items>
    </pivotField>
    <pivotField showAll="0"/>
    <pivotField showAll="0">
      <items count="6">
        <item h="1" x="0"/>
        <item h="1" x="1"/>
        <item x="2"/>
        <item h="1" x="4"/>
        <item h="1" x="3"/>
        <item t="default"/>
      </items>
    </pivotField>
    <pivotField numFmtId="164" showAll="0"/>
    <pivotField axis="axisRow" dataField="1" showAll="0">
      <items count="5">
        <item x="0"/>
        <item x="3"/>
        <item x="2"/>
        <item x="1"/>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Count of Application_Status" fld="6" subtotal="count" baseField="0" baseItem="0"/>
  </dataFields>
  <formats count="2">
    <format dxfId="6">
      <pivotArea outline="0" collapsedLevelsAreSubtotals="1" fieldPosition="0"/>
    </format>
    <format dxfId="5">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4" format="2">
      <pivotArea type="data" outline="0" fieldPosition="0">
        <references count="2">
          <reference field="4294967294" count="1" selected="0">
            <x v="0"/>
          </reference>
          <reference field="6" count="1" selected="0">
            <x v="1"/>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4D441C-4B8C-40E7-8F67-1B8D9EA177E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1:I15" firstHeaderRow="1" firstDataRow="2" firstDataCol="1"/>
  <pivotFields count="11">
    <pivotField showAll="0"/>
    <pivotField numFmtId="14" showAll="0"/>
    <pivotField axis="axisRow" showAll="0">
      <items count="8">
        <item h="1" x="2"/>
        <item h="1" x="4"/>
        <item x="6"/>
        <item x="1"/>
        <item h="1" x="0"/>
        <item h="1" x="3"/>
        <item h="1" x="5"/>
        <item t="default"/>
      </items>
    </pivotField>
    <pivotField showAll="0"/>
    <pivotField showAll="0">
      <items count="6">
        <item h="1" x="0"/>
        <item h="1" x="1"/>
        <item x="2"/>
        <item h="1" x="4"/>
        <item h="1" x="3"/>
        <item t="default"/>
      </items>
    </pivotField>
    <pivotField numFmtId="164" showAll="0"/>
    <pivotField axis="axisCol" dataField="1" showAll="0">
      <items count="5">
        <item x="0"/>
        <item x="3"/>
        <item x="2"/>
        <item x="1"/>
        <item t="default"/>
      </items>
    </pivotField>
    <pivotField showAll="0"/>
    <pivotField showAll="0"/>
    <pivotField showAll="0"/>
    <pivotField showAll="0"/>
  </pivotFields>
  <rowFields count="1">
    <field x="2"/>
  </rowFields>
  <rowItems count="3">
    <i>
      <x v="2"/>
    </i>
    <i>
      <x v="3"/>
    </i>
    <i t="grand">
      <x/>
    </i>
  </rowItems>
  <colFields count="1">
    <field x="6"/>
  </colFields>
  <colItems count="5">
    <i>
      <x/>
    </i>
    <i>
      <x v="1"/>
    </i>
    <i>
      <x v="2"/>
    </i>
    <i>
      <x v="3"/>
    </i>
    <i t="grand">
      <x/>
    </i>
  </colItems>
  <dataFields count="1">
    <dataField name="Count of Application_Status" fld="6" subtotal="count" baseField="0" baseItem="0"/>
  </dataFields>
  <formats count="1">
    <format dxfId="7">
      <pivotArea outline="0" collapsedLevelsAreSubtotals="1" fieldPosition="0"/>
    </format>
  </formats>
  <chartFormats count="4">
    <chartFormat chart="8" format="0" series="1">
      <pivotArea type="data" outline="0" fieldPosition="0">
        <references count="2">
          <reference field="4294967294" count="1" selected="0">
            <x v="0"/>
          </reference>
          <reference field="6" count="1" selected="0">
            <x v="0"/>
          </reference>
        </references>
      </pivotArea>
    </chartFormat>
    <chartFormat chart="8" format="1" series="1">
      <pivotArea type="data" outline="0" fieldPosition="0">
        <references count="2">
          <reference field="4294967294" count="1" selected="0">
            <x v="0"/>
          </reference>
          <reference field="6" count="1" selected="0">
            <x v="1"/>
          </reference>
        </references>
      </pivotArea>
    </chartFormat>
    <chartFormat chart="8" format="2" series="1">
      <pivotArea type="data" outline="0" fieldPosition="0">
        <references count="2">
          <reference field="4294967294" count="1" selected="0">
            <x v="0"/>
          </reference>
          <reference field="6" count="1" selected="0">
            <x v="2"/>
          </reference>
        </references>
      </pivotArea>
    </chartFormat>
    <chartFormat chart="8" format="3" series="1">
      <pivotArea type="data" outline="0" fieldPosition="0">
        <references count="2">
          <reference field="4294967294" count="1" selected="0">
            <x v="0"/>
          </reference>
          <reference field="6"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FBD491B-2A1E-46B6-B7F6-5F47F15EC963}" sourceName="Department">
  <pivotTables>
    <pivotTable tabId="6" name="PivotTable2"/>
    <pivotTable tabId="6" name="PivotTable3"/>
    <pivotTable tabId="6" name="PivotTable4"/>
    <pivotTable tabId="6" name="PivotTable5"/>
    <pivotTable tabId="10" name="PivotTable1"/>
    <pivotTable tabId="10" name="PivotTable3"/>
    <pivotTable tabId="10" name="PivotTable4"/>
    <pivotTable tabId="10" name="PivotTable5"/>
  </pivotTables>
  <data>
    <tabular pivotCacheId="1872320046">
      <items count="7">
        <i x="2"/>
        <i x="4"/>
        <i x="6" s="1"/>
        <i x="1" s="1"/>
        <i x="0"/>
        <i x="3"/>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Status" xr10:uid="{3290AB8B-2F12-44FF-AF87-97A2CCEBD6B2}" sourceName="Application_Status">
  <pivotTables>
    <pivotTable tabId="6" name="PivotTable2"/>
    <pivotTable tabId="6" name="PivotTable3"/>
    <pivotTable tabId="6" name="PivotTable4"/>
    <pivotTable tabId="6" name="PivotTable5"/>
    <pivotTable tabId="10" name="PivotTable1"/>
    <pivotTable tabId="10" name="PivotTable3"/>
    <pivotTable tabId="10" name="PivotTable4"/>
    <pivotTable tabId="10" name="PivotTable5"/>
  </pivotTables>
  <data>
    <tabular pivotCacheId="1872320046">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3A400059-D522-4FBD-A2D2-C9A91B8B38B4}" sourceName="Education_Level">
  <pivotTables>
    <pivotTable tabId="6" name="PivotTable2"/>
    <pivotTable tabId="6" name="PivotTable3"/>
    <pivotTable tabId="6" name="PivotTable4"/>
    <pivotTable tabId="6" name="PivotTable5"/>
    <pivotTable tabId="10" name="PivotTable1"/>
    <pivotTable tabId="10" name="PivotTable3"/>
    <pivotTable tabId="10" name="PivotTable4"/>
    <pivotTable tabId="10" name="PivotTable5"/>
  </pivotTables>
  <data>
    <tabular pivotCacheId="1872320046">
      <items count="5">
        <i x="0"/>
        <i x="1"/>
        <i x="2" s="1"/>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FA0777B-6090-4386-9BD9-01A21DDF414C}" cache="Slicer_Department" caption="Department" style="SlicerStyleLight5" rowHeight="251883"/>
  <slicer name="Application_Status" xr10:uid="{32B0F344-5787-4446-9B09-CEB988A8BF26}" cache="Slicer_Application_Status" caption="Application_Status" style="SlicerStyleLight5" rowHeight="251883"/>
  <slicer name="Education_Level" xr10:uid="{D62EA100-AE2B-4FF8-AF39-359316FBB4B2}" cache="Slicer_Education_Level" caption="Education_Level"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5B9C523-B132-4335-B7AD-4AC3435567EB}" cache="Slicer_Department" caption="Department" style="SlicerStyleLight5" rowHeight="251883"/>
  <slicer name="Application_Status 1" xr10:uid="{D8C5C975-4C66-411D-BB17-221ADB6B4BB1}" cache="Slicer_Application_Status" caption="Application_Status" style="SlicerStyleLight5" rowHeight="251883"/>
  <slicer name="Education_Level 1" xr10:uid="{281E27F1-5E02-4BE5-8123-463377AE1773}" cache="Slicer_Education_Level" caption="Education_Level" style="SlicerStyleLight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2B34B-F8A7-41AA-89C5-BEAA3A1C5975}">
  <sheetPr>
    <tabColor theme="8" tint="-0.249977111117893"/>
  </sheetPr>
  <dimension ref="A1:G301"/>
  <sheetViews>
    <sheetView workbookViewId="0">
      <selection activeCell="C16" sqref="C16"/>
    </sheetView>
  </sheetViews>
  <sheetFormatPr defaultRowHeight="14.5"/>
  <cols>
    <col min="1" max="1" width="12.453125" bestFit="1" customWidth="1"/>
    <col min="2" max="2" width="16.54296875" bestFit="1" customWidth="1"/>
    <col min="3" max="3" width="12.6328125" bestFit="1" customWidth="1"/>
    <col min="4" max="4" width="17.81640625" bestFit="1" customWidth="1"/>
    <col min="5" max="5" width="16.36328125" bestFit="1" customWidth="1"/>
    <col min="6" max="6" width="16" bestFit="1" customWidth="1"/>
    <col min="7" max="7" width="18.36328125" bestFit="1" customWidth="1"/>
  </cols>
  <sheetData>
    <row r="1" spans="1:7">
      <c r="A1" s="1" t="s">
        <v>0</v>
      </c>
      <c r="B1" s="1" t="s">
        <v>1</v>
      </c>
      <c r="C1" s="1" t="s">
        <v>2</v>
      </c>
      <c r="D1" s="1" t="s">
        <v>3</v>
      </c>
      <c r="E1" s="1" t="s">
        <v>4</v>
      </c>
      <c r="F1" s="1" t="s">
        <v>5</v>
      </c>
      <c r="G1" s="1" t="s">
        <v>6</v>
      </c>
    </row>
    <row r="2" spans="1:7">
      <c r="A2" t="s">
        <v>7</v>
      </c>
      <c r="B2" s="6">
        <v>45990</v>
      </c>
      <c r="C2" t="s">
        <v>8</v>
      </c>
      <c r="D2">
        <v>7</v>
      </c>
      <c r="E2" t="s">
        <v>9</v>
      </c>
      <c r="F2" s="2">
        <v>81.5</v>
      </c>
      <c r="G2" t="s">
        <v>10</v>
      </c>
    </row>
    <row r="3" spans="1:7">
      <c r="B3" s="6">
        <v>45927</v>
      </c>
      <c r="C3" t="s">
        <v>11</v>
      </c>
      <c r="D3">
        <v>14</v>
      </c>
      <c r="E3" t="s">
        <v>12</v>
      </c>
      <c r="F3" s="2">
        <v>81.3</v>
      </c>
      <c r="G3" t="s">
        <v>10</v>
      </c>
    </row>
    <row r="4" spans="1:7">
      <c r="A4" t="s">
        <v>13</v>
      </c>
      <c r="B4" s="6">
        <v>45892</v>
      </c>
      <c r="D4">
        <v>10</v>
      </c>
      <c r="E4" t="s">
        <v>14</v>
      </c>
      <c r="F4" s="2">
        <v>90.9</v>
      </c>
      <c r="G4" t="s">
        <v>10</v>
      </c>
    </row>
    <row r="5" spans="1:7">
      <c r="A5" t="s">
        <v>15</v>
      </c>
      <c r="B5" s="6">
        <v>46204</v>
      </c>
      <c r="C5" t="s">
        <v>16</v>
      </c>
      <c r="D5">
        <v>15</v>
      </c>
      <c r="E5" t="s">
        <v>14</v>
      </c>
      <c r="F5" s="2">
        <v>74.7</v>
      </c>
      <c r="G5" t="s">
        <v>17</v>
      </c>
    </row>
    <row r="6" spans="1:7">
      <c r="A6" t="s">
        <v>18</v>
      </c>
      <c r="B6" s="6">
        <v>46154</v>
      </c>
      <c r="C6" t="s">
        <v>19</v>
      </c>
      <c r="D6">
        <v>7</v>
      </c>
      <c r="E6" t="s">
        <v>12</v>
      </c>
      <c r="F6" s="2">
        <v>83.5</v>
      </c>
      <c r="G6" t="s">
        <v>10</v>
      </c>
    </row>
    <row r="7" spans="1:7">
      <c r="A7" t="s">
        <v>20</v>
      </c>
      <c r="B7" s="6">
        <v>45757</v>
      </c>
      <c r="C7" t="s">
        <v>21</v>
      </c>
      <c r="D7">
        <v>1</v>
      </c>
      <c r="F7" s="2">
        <v>57</v>
      </c>
      <c r="G7" t="s">
        <v>17</v>
      </c>
    </row>
    <row r="8" spans="1:7">
      <c r="A8" t="s">
        <v>22</v>
      </c>
      <c r="B8" s="6">
        <v>46191</v>
      </c>
      <c r="C8" t="s">
        <v>8</v>
      </c>
      <c r="D8">
        <v>8</v>
      </c>
      <c r="E8" t="s">
        <v>14</v>
      </c>
      <c r="F8" s="2">
        <v>86</v>
      </c>
      <c r="G8" t="s">
        <v>10</v>
      </c>
    </row>
    <row r="9" spans="1:7">
      <c r="A9" t="s">
        <v>23</v>
      </c>
      <c r="B9" s="6">
        <v>45910</v>
      </c>
      <c r="C9" t="s">
        <v>24</v>
      </c>
      <c r="D9">
        <v>14</v>
      </c>
      <c r="E9" t="s">
        <v>14</v>
      </c>
      <c r="F9" s="2">
        <v>63.9</v>
      </c>
      <c r="G9" t="s">
        <v>25</v>
      </c>
    </row>
    <row r="10" spans="1:7">
      <c r="A10" t="s">
        <v>26</v>
      </c>
      <c r="B10" s="6">
        <v>45667</v>
      </c>
      <c r="C10" t="s">
        <v>11</v>
      </c>
      <c r="D10">
        <v>3</v>
      </c>
      <c r="E10" t="s">
        <v>14</v>
      </c>
      <c r="F10" s="2">
        <v>75.8</v>
      </c>
      <c r="G10" t="s">
        <v>27</v>
      </c>
    </row>
    <row r="11" spans="1:7">
      <c r="A11" t="s">
        <v>28</v>
      </c>
      <c r="B11" s="6">
        <v>46012</v>
      </c>
      <c r="C11" t="s">
        <v>21</v>
      </c>
      <c r="D11">
        <v>1</v>
      </c>
      <c r="E11" t="s">
        <v>12</v>
      </c>
      <c r="F11" s="2">
        <v>89.1</v>
      </c>
    </row>
    <row r="12" spans="1:7">
      <c r="A12" t="s">
        <v>29</v>
      </c>
      <c r="B12" s="6">
        <v>45883</v>
      </c>
      <c r="C12" t="s">
        <v>16</v>
      </c>
      <c r="D12">
        <v>8</v>
      </c>
      <c r="E12" t="s">
        <v>12</v>
      </c>
      <c r="F12" s="2">
        <v>63.1</v>
      </c>
      <c r="G12" t="s">
        <v>27</v>
      </c>
    </row>
    <row r="13" spans="1:7">
      <c r="A13" t="s">
        <v>30</v>
      </c>
      <c r="B13" s="6">
        <v>46019</v>
      </c>
      <c r="D13">
        <v>4</v>
      </c>
      <c r="E13" t="s">
        <v>12</v>
      </c>
      <c r="F13" s="2">
        <v>92.4</v>
      </c>
      <c r="G13" t="s">
        <v>10</v>
      </c>
    </row>
    <row r="14" spans="1:7">
      <c r="A14" t="s">
        <v>31</v>
      </c>
      <c r="B14" s="6">
        <v>45890</v>
      </c>
      <c r="C14" t="s">
        <v>21</v>
      </c>
      <c r="D14">
        <v>12</v>
      </c>
      <c r="E14" t="s">
        <v>14</v>
      </c>
      <c r="F14" s="2">
        <v>88.5</v>
      </c>
      <c r="G14" t="s">
        <v>10</v>
      </c>
    </row>
    <row r="15" spans="1:7">
      <c r="A15" t="s">
        <v>32</v>
      </c>
      <c r="B15" s="6">
        <v>45663</v>
      </c>
      <c r="C15" t="s">
        <v>24</v>
      </c>
      <c r="D15">
        <v>6</v>
      </c>
      <c r="F15" s="2">
        <v>92.9</v>
      </c>
      <c r="G15" t="s">
        <v>10</v>
      </c>
    </row>
    <row r="16" spans="1:7">
      <c r="A16" t="s">
        <v>33</v>
      </c>
      <c r="B16" s="6">
        <v>45827</v>
      </c>
      <c r="C16" t="s">
        <v>19</v>
      </c>
      <c r="D16">
        <v>5</v>
      </c>
      <c r="E16" t="s">
        <v>9</v>
      </c>
      <c r="F16" s="2">
        <v>98.8</v>
      </c>
      <c r="G16" t="s">
        <v>10</v>
      </c>
    </row>
    <row r="17" spans="1:7">
      <c r="A17" t="s">
        <v>34</v>
      </c>
      <c r="B17" s="6">
        <v>45743</v>
      </c>
      <c r="C17" t="s">
        <v>19</v>
      </c>
      <c r="D17">
        <v>2</v>
      </c>
      <c r="E17" t="s">
        <v>14</v>
      </c>
      <c r="F17" s="2">
        <v>76.400000000000006</v>
      </c>
      <c r="G17" t="s">
        <v>17</v>
      </c>
    </row>
    <row r="18" spans="1:7">
      <c r="A18" t="s">
        <v>35</v>
      </c>
      <c r="B18" s="6" t="s">
        <v>36</v>
      </c>
      <c r="C18" t="s">
        <v>301</v>
      </c>
      <c r="D18">
        <v>13</v>
      </c>
      <c r="E18" t="s">
        <v>14</v>
      </c>
      <c r="F18" s="2">
        <v>74.5</v>
      </c>
      <c r="G18" t="s">
        <v>27</v>
      </c>
    </row>
    <row r="19" spans="1:7">
      <c r="A19" t="s">
        <v>37</v>
      </c>
      <c r="B19" s="6">
        <v>45981</v>
      </c>
      <c r="C19" t="s">
        <v>21</v>
      </c>
      <c r="D19">
        <v>3</v>
      </c>
      <c r="E19" t="s">
        <v>9</v>
      </c>
      <c r="F19" s="2">
        <v>65.900000000000006</v>
      </c>
      <c r="G19" t="s">
        <v>27</v>
      </c>
    </row>
    <row r="20" spans="1:7">
      <c r="A20" t="s">
        <v>38</v>
      </c>
      <c r="B20" s="6">
        <v>45703</v>
      </c>
      <c r="C20" t="s">
        <v>11</v>
      </c>
      <c r="D20">
        <v>2</v>
      </c>
      <c r="E20" t="s">
        <v>12</v>
      </c>
      <c r="F20" s="2">
        <v>74.400000000000006</v>
      </c>
      <c r="G20" t="s">
        <v>17</v>
      </c>
    </row>
    <row r="21" spans="1:7">
      <c r="A21" t="s">
        <v>39</v>
      </c>
      <c r="B21" s="6">
        <v>46190</v>
      </c>
      <c r="C21" t="s">
        <v>11</v>
      </c>
      <c r="D21">
        <v>8</v>
      </c>
      <c r="F21" s="2">
        <v>88.9</v>
      </c>
      <c r="G21" t="s">
        <v>10</v>
      </c>
    </row>
    <row r="22" spans="1:7">
      <c r="A22" t="s">
        <v>40</v>
      </c>
      <c r="B22" s="6">
        <v>46181</v>
      </c>
      <c r="C22" t="s">
        <v>19</v>
      </c>
      <c r="E22" t="s">
        <v>14</v>
      </c>
      <c r="F22" s="2">
        <v>97</v>
      </c>
      <c r="G22" t="s">
        <v>10</v>
      </c>
    </row>
    <row r="23" spans="1:7">
      <c r="A23" t="s">
        <v>41</v>
      </c>
      <c r="B23" s="6">
        <v>46197</v>
      </c>
      <c r="C23" t="s">
        <v>24</v>
      </c>
      <c r="D23">
        <v>11</v>
      </c>
      <c r="E23" t="s">
        <v>14</v>
      </c>
      <c r="F23" s="2">
        <v>74.599999999999994</v>
      </c>
      <c r="G23" t="s">
        <v>17</v>
      </c>
    </row>
    <row r="24" spans="1:7">
      <c r="A24" t="s">
        <v>42</v>
      </c>
      <c r="B24" s="6">
        <v>46001</v>
      </c>
      <c r="C24" t="s">
        <v>8</v>
      </c>
      <c r="D24">
        <v>10</v>
      </c>
      <c r="E24" t="s">
        <v>14</v>
      </c>
      <c r="F24" s="2">
        <v>57.1</v>
      </c>
      <c r="G24" t="s">
        <v>17</v>
      </c>
    </row>
    <row r="25" spans="1:7">
      <c r="A25" t="s">
        <v>43</v>
      </c>
      <c r="B25" s="6">
        <v>46133</v>
      </c>
      <c r="C25" t="s">
        <v>8</v>
      </c>
      <c r="D25">
        <v>12</v>
      </c>
      <c r="E25" t="s">
        <v>44</v>
      </c>
      <c r="F25" s="2">
        <v>87.3</v>
      </c>
      <c r="G25" t="s">
        <v>10</v>
      </c>
    </row>
    <row r="26" spans="1:7">
      <c r="A26" t="s">
        <v>45</v>
      </c>
      <c r="B26" s="6">
        <v>46212</v>
      </c>
      <c r="D26">
        <v>7</v>
      </c>
      <c r="E26" t="s">
        <v>14</v>
      </c>
      <c r="F26" s="2">
        <v>61.5</v>
      </c>
      <c r="G26" t="s">
        <v>27</v>
      </c>
    </row>
    <row r="27" spans="1:7">
      <c r="A27" t="s">
        <v>46</v>
      </c>
      <c r="B27" s="6">
        <v>46207</v>
      </c>
      <c r="C27" t="s">
        <v>19</v>
      </c>
      <c r="D27">
        <v>11</v>
      </c>
      <c r="E27" t="s">
        <v>12</v>
      </c>
      <c r="F27" s="2"/>
      <c r="G27" t="s">
        <v>10</v>
      </c>
    </row>
    <row r="28" spans="1:7">
      <c r="A28" t="s">
        <v>47</v>
      </c>
      <c r="B28" s="6">
        <v>45901</v>
      </c>
      <c r="C28" t="s">
        <v>19</v>
      </c>
      <c r="E28" t="s">
        <v>14</v>
      </c>
      <c r="F28" s="2">
        <v>80.2</v>
      </c>
      <c r="G28" t="s">
        <v>10</v>
      </c>
    </row>
    <row r="29" spans="1:7">
      <c r="A29" t="s">
        <v>48</v>
      </c>
      <c r="B29" s="6">
        <v>45736</v>
      </c>
      <c r="C29" t="s">
        <v>8</v>
      </c>
      <c r="D29">
        <v>12</v>
      </c>
      <c r="E29" t="s">
        <v>9</v>
      </c>
      <c r="F29" s="2"/>
      <c r="G29" t="s">
        <v>10</v>
      </c>
    </row>
    <row r="30" spans="1:7">
      <c r="A30" t="s">
        <v>49</v>
      </c>
      <c r="B30" s="6">
        <v>46090</v>
      </c>
      <c r="D30">
        <v>11</v>
      </c>
      <c r="E30" t="s">
        <v>12</v>
      </c>
      <c r="F30" s="2">
        <v>73.7</v>
      </c>
      <c r="G30" t="s">
        <v>27</v>
      </c>
    </row>
    <row r="31" spans="1:7">
      <c r="A31" t="s">
        <v>50</v>
      </c>
      <c r="B31" s="6">
        <v>45819</v>
      </c>
      <c r="C31" t="s">
        <v>16</v>
      </c>
      <c r="D31">
        <v>7</v>
      </c>
      <c r="E31" t="s">
        <v>14</v>
      </c>
      <c r="F31" s="2">
        <v>71.900000000000006</v>
      </c>
      <c r="G31" t="s">
        <v>25</v>
      </c>
    </row>
    <row r="32" spans="1:7">
      <c r="A32" t="s">
        <v>51</v>
      </c>
      <c r="B32" s="6">
        <v>46020</v>
      </c>
      <c r="C32" t="s">
        <v>19</v>
      </c>
      <c r="D32">
        <v>4</v>
      </c>
      <c r="E32" t="s">
        <v>14</v>
      </c>
      <c r="F32" s="2">
        <v>48.1</v>
      </c>
      <c r="G32" t="s">
        <v>17</v>
      </c>
    </row>
    <row r="33" spans="1:7">
      <c r="B33" s="6">
        <v>45898</v>
      </c>
      <c r="C33" t="s">
        <v>19</v>
      </c>
      <c r="D33">
        <v>0</v>
      </c>
      <c r="E33" t="s">
        <v>302</v>
      </c>
      <c r="F33" s="2">
        <v>59.6</v>
      </c>
      <c r="G33" t="s">
        <v>17</v>
      </c>
    </row>
    <row r="34" spans="1:7">
      <c r="A34" t="s">
        <v>52</v>
      </c>
      <c r="B34" s="6">
        <v>45807</v>
      </c>
      <c r="C34" t="s">
        <v>8</v>
      </c>
      <c r="D34">
        <v>9</v>
      </c>
      <c r="E34" t="s">
        <v>12</v>
      </c>
      <c r="F34" s="2">
        <v>71.900000000000006</v>
      </c>
      <c r="G34" t="s">
        <v>25</v>
      </c>
    </row>
    <row r="35" spans="1:7">
      <c r="A35" t="s">
        <v>53</v>
      </c>
      <c r="B35" s="6"/>
      <c r="C35" t="s">
        <v>19</v>
      </c>
      <c r="D35">
        <v>0</v>
      </c>
      <c r="E35" t="s">
        <v>302</v>
      </c>
      <c r="F35" s="2">
        <v>47</v>
      </c>
      <c r="G35" t="s">
        <v>27</v>
      </c>
    </row>
    <row r="36" spans="1:7">
      <c r="A36" t="s">
        <v>54</v>
      </c>
      <c r="B36" s="6">
        <v>45692</v>
      </c>
      <c r="C36" t="s">
        <v>21</v>
      </c>
      <c r="D36">
        <v>12</v>
      </c>
      <c r="E36" t="s">
        <v>14</v>
      </c>
      <c r="F36" s="2">
        <v>91.1</v>
      </c>
      <c r="G36" t="s">
        <v>10</v>
      </c>
    </row>
    <row r="37" spans="1:7">
      <c r="A37" t="s">
        <v>55</v>
      </c>
      <c r="B37" s="6">
        <v>46128</v>
      </c>
      <c r="C37" t="s">
        <v>8</v>
      </c>
      <c r="D37">
        <v>13</v>
      </c>
      <c r="E37" t="s">
        <v>14</v>
      </c>
      <c r="F37" s="2">
        <v>86.1</v>
      </c>
      <c r="G37" t="s">
        <v>10</v>
      </c>
    </row>
    <row r="38" spans="1:7">
      <c r="A38" t="s">
        <v>56</v>
      </c>
      <c r="B38" s="6"/>
      <c r="C38" t="s">
        <v>11</v>
      </c>
      <c r="D38">
        <v>13</v>
      </c>
      <c r="E38" t="s">
        <v>14</v>
      </c>
      <c r="F38" s="2">
        <v>60.4</v>
      </c>
      <c r="G38" t="s">
        <v>303</v>
      </c>
    </row>
    <row r="39" spans="1:7">
      <c r="A39" t="s">
        <v>57</v>
      </c>
      <c r="B39" s="6">
        <v>45958</v>
      </c>
      <c r="C39" t="s">
        <v>16</v>
      </c>
      <c r="D39">
        <v>11</v>
      </c>
      <c r="E39" t="s">
        <v>12</v>
      </c>
      <c r="F39" s="2">
        <v>79.400000000000006</v>
      </c>
      <c r="G39" t="s">
        <v>27</v>
      </c>
    </row>
    <row r="40" spans="1:7">
      <c r="A40" t="s">
        <v>58</v>
      </c>
      <c r="B40" s="6">
        <v>45913</v>
      </c>
      <c r="C40" t="s">
        <v>11</v>
      </c>
      <c r="D40">
        <v>1</v>
      </c>
      <c r="E40" t="s">
        <v>14</v>
      </c>
      <c r="F40" s="2">
        <v>61.6</v>
      </c>
      <c r="G40" t="s">
        <v>17</v>
      </c>
    </row>
    <row r="41" spans="1:7">
      <c r="A41" t="s">
        <v>59</v>
      </c>
      <c r="B41" s="6">
        <v>46144</v>
      </c>
      <c r="C41" t="s">
        <v>24</v>
      </c>
      <c r="D41">
        <v>10</v>
      </c>
      <c r="E41" t="s">
        <v>14</v>
      </c>
      <c r="F41" s="2"/>
      <c r="G41" t="s">
        <v>10</v>
      </c>
    </row>
    <row r="42" spans="1:7">
      <c r="A42" t="s">
        <v>60</v>
      </c>
      <c r="B42" s="6">
        <v>45725</v>
      </c>
      <c r="C42" t="s">
        <v>16</v>
      </c>
      <c r="D42">
        <v>5</v>
      </c>
      <c r="F42" s="2">
        <v>72.400000000000006</v>
      </c>
      <c r="G42" t="s">
        <v>17</v>
      </c>
    </row>
    <row r="43" spans="1:7">
      <c r="A43" t="s">
        <v>61</v>
      </c>
      <c r="B43" s="6">
        <v>45929</v>
      </c>
      <c r="C43" t="s">
        <v>21</v>
      </c>
      <c r="D43">
        <v>14</v>
      </c>
      <c r="E43" t="s">
        <v>14</v>
      </c>
      <c r="F43" s="2">
        <v>45.8</v>
      </c>
      <c r="G43" t="s">
        <v>27</v>
      </c>
    </row>
    <row r="44" spans="1:7">
      <c r="A44" t="s">
        <v>62</v>
      </c>
      <c r="B44" s="6">
        <v>45838</v>
      </c>
      <c r="C44" t="s">
        <v>24</v>
      </c>
      <c r="D44">
        <v>0</v>
      </c>
      <c r="E44" t="s">
        <v>9</v>
      </c>
      <c r="F44" s="2">
        <v>100</v>
      </c>
      <c r="G44" t="s">
        <v>17</v>
      </c>
    </row>
    <row r="45" spans="1:7">
      <c r="A45" t="s">
        <v>63</v>
      </c>
      <c r="B45" s="6">
        <v>46052</v>
      </c>
      <c r="C45" t="s">
        <v>24</v>
      </c>
      <c r="D45">
        <v>12</v>
      </c>
      <c r="E45" t="s">
        <v>12</v>
      </c>
      <c r="F45" s="2">
        <v>71.599999999999994</v>
      </c>
      <c r="G45" t="s">
        <v>25</v>
      </c>
    </row>
    <row r="46" spans="1:7">
      <c r="A46" t="s">
        <v>64</v>
      </c>
      <c r="B46" s="6">
        <v>45916</v>
      </c>
      <c r="C46" t="s">
        <v>11</v>
      </c>
      <c r="E46" t="s">
        <v>12</v>
      </c>
      <c r="F46" s="2">
        <v>59.4</v>
      </c>
      <c r="G46" t="s">
        <v>27</v>
      </c>
    </row>
    <row r="47" spans="1:7">
      <c r="A47" t="s">
        <v>65</v>
      </c>
      <c r="B47" s="6">
        <v>46205</v>
      </c>
      <c r="C47" t="s">
        <v>24</v>
      </c>
      <c r="D47">
        <v>6</v>
      </c>
      <c r="E47" t="s">
        <v>12</v>
      </c>
      <c r="F47" s="2">
        <v>58.3</v>
      </c>
      <c r="G47" t="s">
        <v>27</v>
      </c>
    </row>
    <row r="48" spans="1:7">
      <c r="A48" t="s">
        <v>66</v>
      </c>
      <c r="B48" s="6">
        <v>46092</v>
      </c>
      <c r="C48" t="s">
        <v>8</v>
      </c>
      <c r="D48">
        <v>7</v>
      </c>
      <c r="F48" s="2">
        <v>96.8</v>
      </c>
      <c r="G48" t="s">
        <v>10</v>
      </c>
    </row>
    <row r="49" spans="1:7">
      <c r="A49" t="s">
        <v>67</v>
      </c>
      <c r="B49" s="6">
        <v>45895</v>
      </c>
      <c r="C49" t="s">
        <v>19</v>
      </c>
      <c r="D49">
        <v>10</v>
      </c>
      <c r="E49" t="s">
        <v>44</v>
      </c>
      <c r="F49" s="2">
        <v>123</v>
      </c>
      <c r="G49" t="s">
        <v>10</v>
      </c>
    </row>
    <row r="50" spans="1:7">
      <c r="A50" t="s">
        <v>68</v>
      </c>
      <c r="B50" s="6"/>
      <c r="C50" t="s">
        <v>19</v>
      </c>
      <c r="D50">
        <v>7</v>
      </c>
      <c r="E50" t="s">
        <v>14</v>
      </c>
      <c r="F50" s="2">
        <v>79.599999999999994</v>
      </c>
      <c r="G50" t="s">
        <v>25</v>
      </c>
    </row>
    <row r="51" spans="1:7">
      <c r="A51" t="s">
        <v>69</v>
      </c>
      <c r="B51" s="6">
        <v>46050</v>
      </c>
      <c r="C51" t="s">
        <v>16</v>
      </c>
      <c r="D51">
        <v>12</v>
      </c>
      <c r="E51" t="s">
        <v>12</v>
      </c>
      <c r="F51" s="2">
        <v>59.7</v>
      </c>
      <c r="G51" t="s">
        <v>17</v>
      </c>
    </row>
    <row r="52" spans="1:7">
      <c r="A52" t="s">
        <v>70</v>
      </c>
      <c r="B52" s="6">
        <v>45753</v>
      </c>
      <c r="C52" t="s">
        <v>11</v>
      </c>
      <c r="D52">
        <v>14</v>
      </c>
      <c r="E52" t="s">
        <v>14</v>
      </c>
      <c r="F52" s="2">
        <v>52.4</v>
      </c>
      <c r="G52" t="s">
        <v>27</v>
      </c>
    </row>
    <row r="53" spans="1:7">
      <c r="A53" t="s">
        <v>71</v>
      </c>
      <c r="B53" s="6">
        <v>45809</v>
      </c>
      <c r="C53" t="s">
        <v>21</v>
      </c>
      <c r="D53">
        <v>2</v>
      </c>
      <c r="E53" t="s">
        <v>14</v>
      </c>
      <c r="F53" s="2">
        <v>80.599999999999994</v>
      </c>
      <c r="G53" t="s">
        <v>10</v>
      </c>
    </row>
    <row r="54" spans="1:7">
      <c r="A54" t="s">
        <v>72</v>
      </c>
      <c r="B54" s="6">
        <v>45705</v>
      </c>
      <c r="C54" t="s">
        <v>19</v>
      </c>
      <c r="D54">
        <v>3</v>
      </c>
      <c r="E54" t="s">
        <v>12</v>
      </c>
      <c r="F54" s="2">
        <v>69.8</v>
      </c>
      <c r="G54" t="s">
        <v>25</v>
      </c>
    </row>
    <row r="55" spans="1:7">
      <c r="A55" t="s">
        <v>73</v>
      </c>
      <c r="B55" s="6">
        <v>45916</v>
      </c>
      <c r="C55" t="s">
        <v>16</v>
      </c>
      <c r="D55">
        <v>14</v>
      </c>
      <c r="E55" t="s">
        <v>9</v>
      </c>
      <c r="F55" s="2">
        <v>68.7</v>
      </c>
      <c r="G55" t="s">
        <v>27</v>
      </c>
    </row>
    <row r="56" spans="1:7">
      <c r="A56" t="s">
        <v>74</v>
      </c>
      <c r="B56" s="6">
        <v>45813</v>
      </c>
      <c r="C56" t="s">
        <v>21</v>
      </c>
      <c r="D56">
        <v>5</v>
      </c>
      <c r="E56" t="s">
        <v>44</v>
      </c>
      <c r="F56" s="2">
        <v>85.1</v>
      </c>
      <c r="G56" t="s">
        <v>10</v>
      </c>
    </row>
    <row r="57" spans="1:7">
      <c r="A57" t="s">
        <v>75</v>
      </c>
      <c r="B57" s="6">
        <v>46225</v>
      </c>
      <c r="C57" t="s">
        <v>21</v>
      </c>
      <c r="D57">
        <v>9</v>
      </c>
      <c r="E57" t="s">
        <v>14</v>
      </c>
      <c r="F57" s="2">
        <v>71.8</v>
      </c>
      <c r="G57" t="s">
        <v>27</v>
      </c>
    </row>
    <row r="58" spans="1:7">
      <c r="A58" t="s">
        <v>76</v>
      </c>
      <c r="B58" s="6">
        <v>46222</v>
      </c>
      <c r="C58" t="s">
        <v>21</v>
      </c>
      <c r="D58">
        <v>1</v>
      </c>
      <c r="E58" t="s">
        <v>9</v>
      </c>
      <c r="F58" s="2">
        <v>89.9</v>
      </c>
      <c r="G58" t="s">
        <v>17</v>
      </c>
    </row>
    <row r="59" spans="1:7">
      <c r="A59" t="s">
        <v>77</v>
      </c>
      <c r="B59" s="6">
        <v>46108</v>
      </c>
      <c r="C59" t="s">
        <v>11</v>
      </c>
      <c r="D59">
        <v>10</v>
      </c>
      <c r="E59" t="s">
        <v>12</v>
      </c>
      <c r="F59" s="2">
        <v>76.900000000000006</v>
      </c>
      <c r="G59" t="s">
        <v>17</v>
      </c>
    </row>
    <row r="60" spans="1:7">
      <c r="A60" t="s">
        <v>78</v>
      </c>
      <c r="B60" s="6">
        <v>45889</v>
      </c>
      <c r="C60" t="s">
        <v>8</v>
      </c>
      <c r="D60">
        <v>10</v>
      </c>
      <c r="F60" s="2">
        <v>73.7</v>
      </c>
      <c r="G60" t="s">
        <v>27</v>
      </c>
    </row>
    <row r="61" spans="1:7">
      <c r="A61" t="s">
        <v>79</v>
      </c>
      <c r="B61" s="6">
        <v>46173</v>
      </c>
      <c r="C61" t="s">
        <v>11</v>
      </c>
      <c r="D61">
        <v>0</v>
      </c>
      <c r="E61" t="s">
        <v>44</v>
      </c>
      <c r="F61" s="2">
        <v>76.5</v>
      </c>
      <c r="G61" t="s">
        <v>17</v>
      </c>
    </row>
    <row r="62" spans="1:7">
      <c r="A62" t="s">
        <v>80</v>
      </c>
      <c r="B62" s="6">
        <v>46014</v>
      </c>
      <c r="C62" t="s">
        <v>11</v>
      </c>
      <c r="D62">
        <v>4</v>
      </c>
      <c r="E62" t="s">
        <v>14</v>
      </c>
      <c r="F62" s="2">
        <v>81.400000000000006</v>
      </c>
      <c r="G62" t="s">
        <v>10</v>
      </c>
    </row>
    <row r="63" spans="1:7">
      <c r="A63" t="s">
        <v>81</v>
      </c>
      <c r="B63" s="6">
        <v>45918</v>
      </c>
      <c r="C63" t="s">
        <v>21</v>
      </c>
      <c r="D63">
        <v>-8</v>
      </c>
      <c r="E63" t="s">
        <v>14</v>
      </c>
      <c r="F63" s="2">
        <v>52.1</v>
      </c>
    </row>
    <row r="64" spans="1:7">
      <c r="A64" t="s">
        <v>82</v>
      </c>
      <c r="B64" s="6">
        <v>45903</v>
      </c>
      <c r="C64" t="s">
        <v>8</v>
      </c>
      <c r="D64">
        <v>9</v>
      </c>
      <c r="E64" t="s">
        <v>14</v>
      </c>
      <c r="F64" s="2">
        <v>93.3</v>
      </c>
    </row>
    <row r="65" spans="1:7">
      <c r="A65" t="s">
        <v>83</v>
      </c>
      <c r="B65" s="6">
        <v>45969</v>
      </c>
      <c r="C65" t="s">
        <v>16</v>
      </c>
      <c r="D65">
        <v>3</v>
      </c>
      <c r="E65" t="s">
        <v>14</v>
      </c>
      <c r="F65" s="2">
        <v>66.2</v>
      </c>
      <c r="G65" t="s">
        <v>27</v>
      </c>
    </row>
    <row r="66" spans="1:7">
      <c r="A66" t="s">
        <v>84</v>
      </c>
      <c r="B66" s="6"/>
      <c r="C66" t="s">
        <v>19</v>
      </c>
      <c r="D66">
        <v>1</v>
      </c>
      <c r="E66" t="s">
        <v>14</v>
      </c>
      <c r="F66" s="2">
        <v>80.3</v>
      </c>
      <c r="G66" t="s">
        <v>17</v>
      </c>
    </row>
    <row r="67" spans="1:7">
      <c r="A67" t="s">
        <v>85</v>
      </c>
      <c r="B67" s="6">
        <v>46191</v>
      </c>
      <c r="C67" t="s">
        <v>8</v>
      </c>
      <c r="D67">
        <v>15</v>
      </c>
      <c r="E67" t="s">
        <v>14</v>
      </c>
      <c r="F67" s="2">
        <v>88.3</v>
      </c>
      <c r="G67" t="s">
        <v>10</v>
      </c>
    </row>
    <row r="68" spans="1:7">
      <c r="A68" t="s">
        <v>86</v>
      </c>
      <c r="B68" s="6">
        <v>45954</v>
      </c>
      <c r="C68" t="s">
        <v>304</v>
      </c>
      <c r="D68">
        <v>8</v>
      </c>
      <c r="E68" t="s">
        <v>12</v>
      </c>
      <c r="F68" s="2">
        <v>96.6</v>
      </c>
      <c r="G68" t="s">
        <v>10</v>
      </c>
    </row>
    <row r="69" spans="1:7">
      <c r="A69" t="s">
        <v>87</v>
      </c>
      <c r="B69" s="6">
        <v>46155</v>
      </c>
      <c r="C69" t="s">
        <v>19</v>
      </c>
      <c r="D69" t="s">
        <v>303</v>
      </c>
      <c r="E69" t="s">
        <v>12</v>
      </c>
      <c r="F69" s="2">
        <v>100</v>
      </c>
      <c r="G69" t="s">
        <v>10</v>
      </c>
    </row>
    <row r="70" spans="1:7">
      <c r="A70" t="s">
        <v>88</v>
      </c>
      <c r="B70" s="6"/>
      <c r="C70" t="s">
        <v>21</v>
      </c>
      <c r="D70">
        <v>5</v>
      </c>
      <c r="E70" t="s">
        <v>14</v>
      </c>
      <c r="F70" s="2">
        <v>75.2</v>
      </c>
      <c r="G70" t="s">
        <v>25</v>
      </c>
    </row>
    <row r="71" spans="1:7">
      <c r="A71" t="s">
        <v>89</v>
      </c>
      <c r="B71" s="6">
        <v>45814</v>
      </c>
      <c r="C71" t="s">
        <v>16</v>
      </c>
      <c r="E71" t="s">
        <v>14</v>
      </c>
      <c r="F71" s="2">
        <v>79</v>
      </c>
      <c r="G71" t="s">
        <v>27</v>
      </c>
    </row>
    <row r="72" spans="1:7">
      <c r="A72" t="s">
        <v>90</v>
      </c>
      <c r="B72" s="6">
        <v>46080</v>
      </c>
      <c r="C72" t="s">
        <v>11</v>
      </c>
      <c r="D72">
        <v>9</v>
      </c>
      <c r="E72" t="s">
        <v>14</v>
      </c>
      <c r="F72" s="2">
        <v>53.4</v>
      </c>
    </row>
    <row r="73" spans="1:7">
      <c r="A73" t="s">
        <v>91</v>
      </c>
      <c r="B73" s="6">
        <v>45929</v>
      </c>
      <c r="C73" t="s">
        <v>19</v>
      </c>
      <c r="D73">
        <v>9</v>
      </c>
      <c r="E73" t="s">
        <v>14</v>
      </c>
      <c r="F73" s="2">
        <v>78.599999999999994</v>
      </c>
      <c r="G73" t="s">
        <v>27</v>
      </c>
    </row>
    <row r="74" spans="1:7">
      <c r="A74" t="s">
        <v>92</v>
      </c>
      <c r="B74" s="6">
        <v>45852</v>
      </c>
      <c r="C74" t="s">
        <v>24</v>
      </c>
      <c r="D74">
        <v>9</v>
      </c>
      <c r="E74" t="s">
        <v>14</v>
      </c>
      <c r="F74" s="2">
        <v>69.8</v>
      </c>
      <c r="G74" t="s">
        <v>25</v>
      </c>
    </row>
    <row r="75" spans="1:7">
      <c r="A75" t="s">
        <v>93</v>
      </c>
      <c r="B75" s="6">
        <v>45895</v>
      </c>
      <c r="D75">
        <v>10</v>
      </c>
      <c r="E75" t="s">
        <v>14</v>
      </c>
      <c r="F75" s="2">
        <v>73.099999999999994</v>
      </c>
      <c r="G75" t="s">
        <v>25</v>
      </c>
    </row>
    <row r="76" spans="1:7">
      <c r="A76" t="s">
        <v>94</v>
      </c>
      <c r="B76" s="6"/>
      <c r="C76" t="s">
        <v>16</v>
      </c>
      <c r="D76">
        <v>5</v>
      </c>
      <c r="E76" t="s">
        <v>12</v>
      </c>
      <c r="F76" s="2">
        <v>61.4</v>
      </c>
      <c r="G76" t="s">
        <v>27</v>
      </c>
    </row>
    <row r="77" spans="1:7">
      <c r="A77" t="s">
        <v>95</v>
      </c>
      <c r="B77" s="6">
        <v>46234</v>
      </c>
      <c r="C77" t="s">
        <v>24</v>
      </c>
      <c r="D77">
        <v>9</v>
      </c>
      <c r="E77" t="s">
        <v>14</v>
      </c>
      <c r="F77" s="2">
        <v>89.3</v>
      </c>
      <c r="G77" t="s">
        <v>10</v>
      </c>
    </row>
    <row r="78" spans="1:7">
      <c r="A78" t="s">
        <v>96</v>
      </c>
      <c r="B78" s="6">
        <v>46005</v>
      </c>
      <c r="C78" t="s">
        <v>11</v>
      </c>
      <c r="D78">
        <v>9</v>
      </c>
      <c r="E78" t="s">
        <v>12</v>
      </c>
      <c r="F78" s="2">
        <v>71.400000000000006</v>
      </c>
      <c r="G78" t="s">
        <v>27</v>
      </c>
    </row>
    <row r="79" spans="1:7">
      <c r="A79" t="s">
        <v>97</v>
      </c>
      <c r="B79" s="6">
        <v>45714</v>
      </c>
      <c r="C79" t="s">
        <v>21</v>
      </c>
      <c r="D79">
        <v>2</v>
      </c>
      <c r="E79" t="s">
        <v>14</v>
      </c>
      <c r="F79" s="2">
        <v>83.7</v>
      </c>
      <c r="G79" t="s">
        <v>10</v>
      </c>
    </row>
    <row r="80" spans="1:7">
      <c r="A80" t="s">
        <v>98</v>
      </c>
      <c r="B80" s="6">
        <v>45683</v>
      </c>
      <c r="C80" t="s">
        <v>16</v>
      </c>
      <c r="D80">
        <v>4</v>
      </c>
      <c r="E80" t="s">
        <v>14</v>
      </c>
      <c r="F80" s="2">
        <v>66.5</v>
      </c>
      <c r="G80" t="s">
        <v>27</v>
      </c>
    </row>
    <row r="81" spans="1:7">
      <c r="A81" t="s">
        <v>99</v>
      </c>
      <c r="B81" s="6"/>
      <c r="C81" t="s">
        <v>21</v>
      </c>
      <c r="D81">
        <v>12</v>
      </c>
      <c r="E81" t="s">
        <v>14</v>
      </c>
      <c r="F81" s="2">
        <v>65.3</v>
      </c>
      <c r="G81" t="s">
        <v>27</v>
      </c>
    </row>
    <row r="82" spans="1:7">
      <c r="A82" t="s">
        <v>100</v>
      </c>
      <c r="B82" s="6">
        <v>45818</v>
      </c>
      <c r="C82" t="s">
        <v>24</v>
      </c>
      <c r="D82">
        <v>3</v>
      </c>
      <c r="E82" t="s">
        <v>14</v>
      </c>
      <c r="F82" s="2">
        <v>86.3</v>
      </c>
      <c r="G82" t="s">
        <v>10</v>
      </c>
    </row>
    <row r="83" spans="1:7">
      <c r="A83" t="s">
        <v>101</v>
      </c>
      <c r="B83" s="6">
        <v>45724</v>
      </c>
      <c r="C83" t="s">
        <v>19</v>
      </c>
      <c r="D83">
        <v>3</v>
      </c>
      <c r="E83" t="s">
        <v>14</v>
      </c>
      <c r="F83" s="2">
        <v>85.7</v>
      </c>
      <c r="G83" t="s">
        <v>10</v>
      </c>
    </row>
    <row r="84" spans="1:7">
      <c r="A84" t="s">
        <v>102</v>
      </c>
      <c r="B84" s="6">
        <v>46114</v>
      </c>
      <c r="C84" t="s">
        <v>11</v>
      </c>
      <c r="D84">
        <v>6</v>
      </c>
      <c r="E84" t="s">
        <v>14</v>
      </c>
      <c r="F84" s="2">
        <v>88.9</v>
      </c>
      <c r="G84" t="s">
        <v>10</v>
      </c>
    </row>
    <row r="85" spans="1:7">
      <c r="B85" s="6">
        <v>45696</v>
      </c>
      <c r="C85" t="s">
        <v>8</v>
      </c>
      <c r="D85">
        <v>12</v>
      </c>
      <c r="E85" t="s">
        <v>14</v>
      </c>
      <c r="F85" s="2">
        <v>65.7</v>
      </c>
      <c r="G85" t="s">
        <v>17</v>
      </c>
    </row>
    <row r="86" spans="1:7">
      <c r="A86" t="s">
        <v>103</v>
      </c>
      <c r="B86" s="6">
        <v>46033</v>
      </c>
      <c r="C86" t="s">
        <v>24</v>
      </c>
      <c r="D86">
        <v>2</v>
      </c>
      <c r="E86" t="s">
        <v>12</v>
      </c>
      <c r="F86" s="2">
        <v>59.8</v>
      </c>
      <c r="G86" t="s">
        <v>17</v>
      </c>
    </row>
    <row r="87" spans="1:7">
      <c r="A87" t="s">
        <v>104</v>
      </c>
      <c r="B87" s="6">
        <v>46014</v>
      </c>
      <c r="C87" t="s">
        <v>8</v>
      </c>
      <c r="D87">
        <v>7</v>
      </c>
      <c r="F87" s="2">
        <v>70.7</v>
      </c>
      <c r="G87" t="s">
        <v>17</v>
      </c>
    </row>
    <row r="88" spans="1:7">
      <c r="A88" t="s">
        <v>105</v>
      </c>
      <c r="B88" s="6">
        <v>45982</v>
      </c>
      <c r="C88" t="s">
        <v>8</v>
      </c>
      <c r="D88">
        <v>1</v>
      </c>
      <c r="E88" t="s">
        <v>14</v>
      </c>
      <c r="F88" s="2" t="s">
        <v>106</v>
      </c>
      <c r="G88" t="s">
        <v>25</v>
      </c>
    </row>
    <row r="89" spans="1:7">
      <c r="A89" t="s">
        <v>107</v>
      </c>
      <c r="B89" s="6">
        <v>46208</v>
      </c>
      <c r="C89" t="s">
        <v>8</v>
      </c>
      <c r="D89">
        <v>2</v>
      </c>
      <c r="E89" t="s">
        <v>14</v>
      </c>
      <c r="F89" s="2"/>
      <c r="G89" t="s">
        <v>17</v>
      </c>
    </row>
    <row r="90" spans="1:7">
      <c r="A90" t="s">
        <v>108</v>
      </c>
      <c r="B90" s="6">
        <v>46176</v>
      </c>
      <c r="C90" t="s">
        <v>21</v>
      </c>
      <c r="D90">
        <v>15</v>
      </c>
      <c r="E90" t="s">
        <v>14</v>
      </c>
      <c r="F90" s="2">
        <v>63.6</v>
      </c>
      <c r="G90" t="s">
        <v>17</v>
      </c>
    </row>
    <row r="91" spans="1:7">
      <c r="B91" s="6">
        <v>46213</v>
      </c>
      <c r="C91" t="s">
        <v>11</v>
      </c>
      <c r="D91">
        <v>6</v>
      </c>
      <c r="E91" t="s">
        <v>14</v>
      </c>
      <c r="F91" s="2">
        <v>77.400000000000006</v>
      </c>
      <c r="G91" t="s">
        <v>17</v>
      </c>
    </row>
    <row r="92" spans="1:7">
      <c r="A92" t="s">
        <v>109</v>
      </c>
      <c r="B92" s="6">
        <v>45946</v>
      </c>
      <c r="C92" t="s">
        <v>8</v>
      </c>
      <c r="D92">
        <v>0</v>
      </c>
      <c r="E92" t="s">
        <v>14</v>
      </c>
      <c r="F92" s="2">
        <v>58.2</v>
      </c>
      <c r="G92" t="s">
        <v>17</v>
      </c>
    </row>
    <row r="93" spans="1:7">
      <c r="A93" t="s">
        <v>110</v>
      </c>
      <c r="B93" s="6">
        <v>46216</v>
      </c>
      <c r="C93" t="s">
        <v>24</v>
      </c>
      <c r="D93">
        <v>6</v>
      </c>
      <c r="E93" t="s">
        <v>12</v>
      </c>
      <c r="F93" s="2"/>
      <c r="G93" t="s">
        <v>17</v>
      </c>
    </row>
    <row r="94" spans="1:7">
      <c r="A94" t="s">
        <v>111</v>
      </c>
      <c r="B94" s="6">
        <v>45780</v>
      </c>
      <c r="C94" t="s">
        <v>21</v>
      </c>
      <c r="D94">
        <v>5</v>
      </c>
      <c r="E94" t="s">
        <v>12</v>
      </c>
      <c r="F94" s="2">
        <v>42.5</v>
      </c>
      <c r="G94" t="s">
        <v>305</v>
      </c>
    </row>
    <row r="95" spans="1:7">
      <c r="A95" t="s">
        <v>112</v>
      </c>
      <c r="B95" s="6">
        <v>46002</v>
      </c>
      <c r="C95" t="s">
        <v>21</v>
      </c>
      <c r="E95" t="s">
        <v>12</v>
      </c>
      <c r="F95" s="2">
        <v>66.7</v>
      </c>
      <c r="G95" t="s">
        <v>17</v>
      </c>
    </row>
    <row r="96" spans="1:7">
      <c r="A96" t="s">
        <v>113</v>
      </c>
      <c r="B96" s="6">
        <v>45696</v>
      </c>
      <c r="C96" t="s">
        <v>16</v>
      </c>
      <c r="D96">
        <v>4</v>
      </c>
      <c r="E96" t="s">
        <v>44</v>
      </c>
      <c r="F96" s="2">
        <v>91</v>
      </c>
    </row>
    <row r="97" spans="1:7">
      <c r="A97" t="s">
        <v>114</v>
      </c>
      <c r="B97" s="6">
        <v>46132</v>
      </c>
      <c r="C97" t="s">
        <v>16</v>
      </c>
      <c r="D97">
        <v>6</v>
      </c>
      <c r="E97" t="s">
        <v>12</v>
      </c>
      <c r="F97" s="2">
        <v>59.8</v>
      </c>
      <c r="G97" t="s">
        <v>17</v>
      </c>
    </row>
    <row r="98" spans="1:7">
      <c r="A98" t="s">
        <v>115</v>
      </c>
      <c r="B98" s="6">
        <v>46096</v>
      </c>
      <c r="C98" t="s">
        <v>8</v>
      </c>
      <c r="D98">
        <v>14</v>
      </c>
      <c r="E98" t="s">
        <v>306</v>
      </c>
      <c r="F98" s="2">
        <v>88.3</v>
      </c>
      <c r="G98" t="s">
        <v>10</v>
      </c>
    </row>
    <row r="99" spans="1:7">
      <c r="A99" t="s">
        <v>116</v>
      </c>
      <c r="B99" s="6">
        <v>45813</v>
      </c>
      <c r="C99" t="s">
        <v>21</v>
      </c>
      <c r="D99">
        <v>8</v>
      </c>
      <c r="E99" t="s">
        <v>44</v>
      </c>
      <c r="F99" s="2">
        <v>45.7</v>
      </c>
      <c r="G99" t="s">
        <v>25</v>
      </c>
    </row>
    <row r="100" spans="1:7">
      <c r="A100" t="s">
        <v>117</v>
      </c>
      <c r="B100" s="6">
        <v>46016</v>
      </c>
      <c r="C100" t="s">
        <v>21</v>
      </c>
      <c r="E100" t="s">
        <v>14</v>
      </c>
      <c r="F100" s="2">
        <v>88.4</v>
      </c>
      <c r="G100" t="s">
        <v>10</v>
      </c>
    </row>
    <row r="101" spans="1:7">
      <c r="A101" t="s">
        <v>118</v>
      </c>
      <c r="B101" s="6">
        <v>46139</v>
      </c>
      <c r="C101" t="s">
        <v>19</v>
      </c>
      <c r="D101">
        <v>0</v>
      </c>
      <c r="E101" t="s">
        <v>14</v>
      </c>
      <c r="F101" s="2">
        <v>54</v>
      </c>
      <c r="G101" t="s">
        <v>27</v>
      </c>
    </row>
    <row r="102" spans="1:7">
      <c r="A102" t="s">
        <v>119</v>
      </c>
      <c r="B102" s="6">
        <v>45791</v>
      </c>
      <c r="C102" t="s">
        <v>8</v>
      </c>
      <c r="D102">
        <v>14</v>
      </c>
      <c r="E102" t="s">
        <v>14</v>
      </c>
      <c r="F102" s="2">
        <v>86.3</v>
      </c>
      <c r="G102" t="s">
        <v>10</v>
      </c>
    </row>
    <row r="103" spans="1:7">
      <c r="A103" t="s">
        <v>120</v>
      </c>
      <c r="B103" s="6">
        <v>45883</v>
      </c>
      <c r="C103" t="s">
        <v>21</v>
      </c>
      <c r="D103">
        <v>2</v>
      </c>
      <c r="E103" t="s">
        <v>44</v>
      </c>
      <c r="F103" s="2"/>
      <c r="G103" t="s">
        <v>17</v>
      </c>
    </row>
    <row r="104" spans="1:7">
      <c r="A104" t="s">
        <v>121</v>
      </c>
      <c r="B104" s="6">
        <v>45950</v>
      </c>
      <c r="C104" t="s">
        <v>11</v>
      </c>
      <c r="D104">
        <v>14</v>
      </c>
      <c r="E104" t="s">
        <v>12</v>
      </c>
      <c r="F104" s="2">
        <v>71.599999999999994</v>
      </c>
      <c r="G104" t="s">
        <v>25</v>
      </c>
    </row>
    <row r="105" spans="1:7">
      <c r="A105" t="s">
        <v>122</v>
      </c>
      <c r="B105" s="6">
        <v>46185</v>
      </c>
      <c r="C105" t="s">
        <v>19</v>
      </c>
      <c r="D105">
        <v>13</v>
      </c>
      <c r="E105" t="s">
        <v>14</v>
      </c>
      <c r="F105" s="2">
        <v>61.1</v>
      </c>
      <c r="G105" t="s">
        <v>17</v>
      </c>
    </row>
    <row r="106" spans="1:7">
      <c r="A106" t="s">
        <v>123</v>
      </c>
      <c r="B106" s="6">
        <v>45974</v>
      </c>
      <c r="C106" t="s">
        <v>19</v>
      </c>
      <c r="D106">
        <v>0</v>
      </c>
      <c r="E106" t="s">
        <v>14</v>
      </c>
      <c r="F106" s="2">
        <v>49.7</v>
      </c>
      <c r="G106" t="s">
        <v>27</v>
      </c>
    </row>
    <row r="107" spans="1:7">
      <c r="A107" t="s">
        <v>124</v>
      </c>
      <c r="B107" s="6">
        <v>45922</v>
      </c>
      <c r="C107" t="s">
        <v>24</v>
      </c>
      <c r="D107">
        <v>5</v>
      </c>
      <c r="E107" t="s">
        <v>14</v>
      </c>
      <c r="F107" s="2">
        <v>59.2</v>
      </c>
      <c r="G107" t="s">
        <v>25</v>
      </c>
    </row>
    <row r="108" spans="1:7">
      <c r="B108" s="6">
        <v>46202</v>
      </c>
      <c r="C108" t="s">
        <v>11</v>
      </c>
      <c r="D108">
        <v>13</v>
      </c>
      <c r="E108" t="s">
        <v>9</v>
      </c>
      <c r="F108" s="2">
        <v>69.3</v>
      </c>
      <c r="G108" t="s">
        <v>17</v>
      </c>
    </row>
    <row r="109" spans="1:7">
      <c r="A109" t="s">
        <v>125</v>
      </c>
      <c r="B109" s="6">
        <v>45992</v>
      </c>
      <c r="C109" t="s">
        <v>21</v>
      </c>
      <c r="D109">
        <v>6</v>
      </c>
      <c r="E109" t="s">
        <v>12</v>
      </c>
      <c r="F109" s="2">
        <v>79.2</v>
      </c>
      <c r="G109" t="s">
        <v>27</v>
      </c>
    </row>
    <row r="110" spans="1:7">
      <c r="A110" t="s">
        <v>126</v>
      </c>
      <c r="B110" s="6">
        <v>45784</v>
      </c>
      <c r="C110" t="s">
        <v>24</v>
      </c>
      <c r="D110">
        <v>2</v>
      </c>
      <c r="F110" s="2">
        <v>50.8</v>
      </c>
      <c r="G110" t="s">
        <v>25</v>
      </c>
    </row>
    <row r="111" spans="1:7">
      <c r="A111" t="s">
        <v>127</v>
      </c>
      <c r="B111" s="6">
        <v>45959</v>
      </c>
      <c r="C111" t="s">
        <v>24</v>
      </c>
      <c r="D111">
        <v>14</v>
      </c>
      <c r="E111" t="s">
        <v>14</v>
      </c>
      <c r="F111" s="2">
        <v>100</v>
      </c>
    </row>
    <row r="112" spans="1:7">
      <c r="A112" t="s">
        <v>128</v>
      </c>
      <c r="B112" s="6">
        <v>45680</v>
      </c>
      <c r="C112" t="s">
        <v>8</v>
      </c>
      <c r="D112">
        <v>13</v>
      </c>
      <c r="E112" t="s">
        <v>12</v>
      </c>
      <c r="F112" s="2">
        <v>91.9</v>
      </c>
      <c r="G112" t="s">
        <v>10</v>
      </c>
    </row>
    <row r="113" spans="1:7">
      <c r="B113" s="6">
        <v>45872</v>
      </c>
      <c r="C113" t="s">
        <v>21</v>
      </c>
      <c r="D113">
        <v>12</v>
      </c>
      <c r="E113" t="s">
        <v>14</v>
      </c>
      <c r="F113" s="2">
        <v>100</v>
      </c>
      <c r="G113" t="s">
        <v>10</v>
      </c>
    </row>
    <row r="114" spans="1:7">
      <c r="A114" t="s">
        <v>129</v>
      </c>
      <c r="B114" s="6">
        <v>45990</v>
      </c>
      <c r="C114" t="s">
        <v>24</v>
      </c>
      <c r="D114">
        <v>5</v>
      </c>
      <c r="E114" t="s">
        <v>14</v>
      </c>
      <c r="F114" s="2">
        <v>72.5</v>
      </c>
      <c r="G114" t="s">
        <v>27</v>
      </c>
    </row>
    <row r="115" spans="1:7">
      <c r="A115" t="s">
        <v>130</v>
      </c>
      <c r="B115" s="6">
        <v>45695</v>
      </c>
      <c r="C115" t="s">
        <v>19</v>
      </c>
      <c r="D115">
        <v>1</v>
      </c>
      <c r="E115" t="s">
        <v>14</v>
      </c>
      <c r="F115" s="2">
        <v>58.8</v>
      </c>
      <c r="G115" t="s">
        <v>25</v>
      </c>
    </row>
    <row r="116" spans="1:7">
      <c r="A116" t="s">
        <v>131</v>
      </c>
      <c r="B116" s="6">
        <v>45721</v>
      </c>
      <c r="C116" t="s">
        <v>21</v>
      </c>
      <c r="D116">
        <v>5</v>
      </c>
      <c r="E116" t="s">
        <v>14</v>
      </c>
      <c r="F116" s="2">
        <v>75.400000000000006</v>
      </c>
      <c r="G116" t="s">
        <v>25</v>
      </c>
    </row>
    <row r="117" spans="1:7">
      <c r="A117" t="s">
        <v>132</v>
      </c>
      <c r="B117" s="6">
        <v>46124</v>
      </c>
      <c r="C117" t="s">
        <v>24</v>
      </c>
      <c r="D117">
        <v>9</v>
      </c>
      <c r="E117" t="s">
        <v>14</v>
      </c>
      <c r="F117" s="2">
        <v>74.900000000000006</v>
      </c>
      <c r="G117" t="s">
        <v>17</v>
      </c>
    </row>
    <row r="118" spans="1:7">
      <c r="A118" t="s">
        <v>133</v>
      </c>
      <c r="B118" s="6">
        <v>45808</v>
      </c>
      <c r="C118" t="s">
        <v>19</v>
      </c>
      <c r="D118">
        <v>13</v>
      </c>
      <c r="E118" t="s">
        <v>14</v>
      </c>
      <c r="F118" s="2">
        <v>81.2</v>
      </c>
      <c r="G118" t="s">
        <v>10</v>
      </c>
    </row>
    <row r="119" spans="1:7">
      <c r="A119" t="s">
        <v>134</v>
      </c>
      <c r="B119" s="6">
        <v>46074</v>
      </c>
      <c r="C119" t="s">
        <v>16</v>
      </c>
      <c r="D119">
        <v>6</v>
      </c>
      <c r="E119" t="s">
        <v>12</v>
      </c>
      <c r="F119" s="2">
        <v>50.1</v>
      </c>
      <c r="G119" t="s">
        <v>27</v>
      </c>
    </row>
    <row r="120" spans="1:7">
      <c r="A120" t="s">
        <v>135</v>
      </c>
      <c r="B120" s="6">
        <v>45748</v>
      </c>
      <c r="C120" t="s">
        <v>24</v>
      </c>
      <c r="D120">
        <v>8</v>
      </c>
      <c r="E120" t="s">
        <v>14</v>
      </c>
      <c r="F120" s="2">
        <v>84.8</v>
      </c>
      <c r="G120" t="s">
        <v>10</v>
      </c>
    </row>
    <row r="121" spans="1:7">
      <c r="A121" t="s">
        <v>136</v>
      </c>
      <c r="B121" s="6">
        <v>46017</v>
      </c>
      <c r="C121" t="s">
        <v>11</v>
      </c>
      <c r="D121">
        <v>12</v>
      </c>
      <c r="E121" t="s">
        <v>12</v>
      </c>
      <c r="F121" s="2">
        <v>100</v>
      </c>
      <c r="G121" t="s">
        <v>10</v>
      </c>
    </row>
    <row r="122" spans="1:7">
      <c r="B122" s="6">
        <v>46022</v>
      </c>
      <c r="C122" t="s">
        <v>16</v>
      </c>
      <c r="D122">
        <v>8</v>
      </c>
      <c r="E122" t="s">
        <v>14</v>
      </c>
      <c r="F122" s="2">
        <v>73.5</v>
      </c>
      <c r="G122" t="s">
        <v>27</v>
      </c>
    </row>
    <row r="123" spans="1:7">
      <c r="A123" t="s">
        <v>137</v>
      </c>
      <c r="B123" s="6"/>
      <c r="C123" t="s">
        <v>11</v>
      </c>
      <c r="D123">
        <v>3</v>
      </c>
      <c r="E123" t="s">
        <v>14</v>
      </c>
      <c r="F123" s="2">
        <v>67.8</v>
      </c>
      <c r="G123" t="s">
        <v>27</v>
      </c>
    </row>
    <row r="124" spans="1:7">
      <c r="A124" t="s">
        <v>138</v>
      </c>
      <c r="B124" s="6">
        <v>46141</v>
      </c>
      <c r="C124" t="s">
        <v>11</v>
      </c>
      <c r="D124">
        <v>14</v>
      </c>
      <c r="E124" t="s">
        <v>14</v>
      </c>
      <c r="F124" s="2">
        <v>78.099999999999994</v>
      </c>
      <c r="G124" t="s">
        <v>25</v>
      </c>
    </row>
    <row r="125" spans="1:7">
      <c r="A125" t="s">
        <v>139</v>
      </c>
      <c r="B125" s="6">
        <v>45746</v>
      </c>
      <c r="D125">
        <v>3</v>
      </c>
      <c r="E125" t="s">
        <v>12</v>
      </c>
      <c r="F125" s="2">
        <v>74.3</v>
      </c>
      <c r="G125" t="s">
        <v>17</v>
      </c>
    </row>
    <row r="126" spans="1:7">
      <c r="A126" t="s">
        <v>140</v>
      </c>
      <c r="B126" s="6">
        <v>45678</v>
      </c>
      <c r="C126" t="s">
        <v>11</v>
      </c>
      <c r="D126">
        <v>1</v>
      </c>
      <c r="E126" t="s">
        <v>14</v>
      </c>
      <c r="F126" s="2">
        <v>75</v>
      </c>
      <c r="G126" t="s">
        <v>27</v>
      </c>
    </row>
    <row r="127" spans="1:7">
      <c r="A127" t="s">
        <v>141</v>
      </c>
      <c r="B127" s="6">
        <v>45836</v>
      </c>
      <c r="C127" t="s">
        <v>8</v>
      </c>
      <c r="D127">
        <v>9</v>
      </c>
      <c r="E127" t="s">
        <v>14</v>
      </c>
      <c r="F127" s="2">
        <v>84.1</v>
      </c>
      <c r="G127" t="s">
        <v>10</v>
      </c>
    </row>
    <row r="128" spans="1:7">
      <c r="A128" t="s">
        <v>142</v>
      </c>
      <c r="B128" s="6">
        <v>46062</v>
      </c>
      <c r="C128" t="s">
        <v>19</v>
      </c>
      <c r="D128">
        <v>12</v>
      </c>
      <c r="E128" t="s">
        <v>14</v>
      </c>
      <c r="F128" s="2">
        <v>54.4</v>
      </c>
      <c r="G128" t="s">
        <v>17</v>
      </c>
    </row>
    <row r="129" spans="1:7">
      <c r="A129" t="s">
        <v>143</v>
      </c>
      <c r="B129" s="6">
        <v>46119</v>
      </c>
      <c r="C129" t="s">
        <v>24</v>
      </c>
      <c r="D129">
        <v>14</v>
      </c>
      <c r="E129" t="s">
        <v>14</v>
      </c>
      <c r="F129" s="2">
        <v>81.7</v>
      </c>
      <c r="G129" t="s">
        <v>10</v>
      </c>
    </row>
    <row r="130" spans="1:7">
      <c r="A130" t="s">
        <v>144</v>
      </c>
      <c r="B130" s="6">
        <v>45836</v>
      </c>
      <c r="C130" t="s">
        <v>16</v>
      </c>
      <c r="D130">
        <v>4</v>
      </c>
      <c r="E130" t="s">
        <v>14</v>
      </c>
      <c r="F130" s="2">
        <v>87.6</v>
      </c>
      <c r="G130" t="s">
        <v>10</v>
      </c>
    </row>
    <row r="131" spans="1:7">
      <c r="A131" t="s">
        <v>145</v>
      </c>
      <c r="B131" s="6">
        <v>45864</v>
      </c>
      <c r="C131" t="s">
        <v>19</v>
      </c>
      <c r="D131">
        <v>14</v>
      </c>
      <c r="E131" t="s">
        <v>14</v>
      </c>
      <c r="F131" s="2">
        <v>80.5</v>
      </c>
    </row>
    <row r="132" spans="1:7">
      <c r="A132" t="s">
        <v>146</v>
      </c>
      <c r="B132" s="6">
        <v>46072</v>
      </c>
      <c r="C132" t="s">
        <v>19</v>
      </c>
      <c r="D132">
        <v>2</v>
      </c>
      <c r="E132" t="s">
        <v>12</v>
      </c>
      <c r="F132" s="2">
        <v>74.8</v>
      </c>
      <c r="G132" t="s">
        <v>25</v>
      </c>
    </row>
    <row r="133" spans="1:7">
      <c r="A133" t="s">
        <v>147</v>
      </c>
      <c r="B133" s="6">
        <v>45686</v>
      </c>
      <c r="C133" t="s">
        <v>21</v>
      </c>
      <c r="D133">
        <v>1</v>
      </c>
      <c r="E133" t="s">
        <v>14</v>
      </c>
      <c r="F133" s="2">
        <v>78.599999999999994</v>
      </c>
      <c r="G133" t="s">
        <v>27</v>
      </c>
    </row>
    <row r="134" spans="1:7">
      <c r="A134" t="s">
        <v>148</v>
      </c>
      <c r="B134" s="6">
        <v>46178</v>
      </c>
      <c r="C134" t="s">
        <v>11</v>
      </c>
      <c r="D134">
        <v>2</v>
      </c>
      <c r="E134" t="s">
        <v>12</v>
      </c>
      <c r="F134" s="2">
        <v>86.4</v>
      </c>
      <c r="G134" t="s">
        <v>10</v>
      </c>
    </row>
    <row r="135" spans="1:7">
      <c r="A135" t="s">
        <v>149</v>
      </c>
      <c r="B135" s="6">
        <v>45919</v>
      </c>
      <c r="C135" t="s">
        <v>19</v>
      </c>
      <c r="D135">
        <v>5</v>
      </c>
      <c r="E135" t="s">
        <v>12</v>
      </c>
      <c r="F135" s="2">
        <v>56.6</v>
      </c>
      <c r="G135" t="s">
        <v>25</v>
      </c>
    </row>
    <row r="136" spans="1:7">
      <c r="A136" t="s">
        <v>150</v>
      </c>
      <c r="B136" s="6">
        <v>46013</v>
      </c>
      <c r="C136" t="s">
        <v>19</v>
      </c>
      <c r="D136">
        <v>9</v>
      </c>
      <c r="E136" t="s">
        <v>44</v>
      </c>
      <c r="F136" s="2">
        <v>45.1</v>
      </c>
      <c r="G136" t="s">
        <v>17</v>
      </c>
    </row>
    <row r="137" spans="1:7">
      <c r="A137" t="s">
        <v>151</v>
      </c>
      <c r="B137" s="6">
        <v>46048</v>
      </c>
      <c r="C137" t="s">
        <v>307</v>
      </c>
      <c r="D137">
        <v>10</v>
      </c>
      <c r="E137" t="s">
        <v>12</v>
      </c>
      <c r="F137" s="2">
        <v>66.400000000000006</v>
      </c>
      <c r="G137" t="s">
        <v>25</v>
      </c>
    </row>
    <row r="138" spans="1:7">
      <c r="A138" t="s">
        <v>152</v>
      </c>
      <c r="B138" s="6">
        <v>45870</v>
      </c>
      <c r="C138" t="s">
        <v>19</v>
      </c>
      <c r="D138">
        <v>15</v>
      </c>
      <c r="E138" t="s">
        <v>12</v>
      </c>
      <c r="F138" s="2">
        <v>87.7</v>
      </c>
      <c r="G138" t="s">
        <v>10</v>
      </c>
    </row>
    <row r="139" spans="1:7">
      <c r="A139" t="s">
        <v>153</v>
      </c>
      <c r="B139" s="6">
        <v>45914</v>
      </c>
      <c r="C139" t="s">
        <v>11</v>
      </c>
      <c r="D139">
        <v>2</v>
      </c>
      <c r="E139" t="s">
        <v>12</v>
      </c>
      <c r="F139" s="2"/>
      <c r="G139" t="s">
        <v>27</v>
      </c>
    </row>
    <row r="140" spans="1:7">
      <c r="A140" t="s">
        <v>154</v>
      </c>
      <c r="B140" s="6">
        <v>45952</v>
      </c>
      <c r="C140" t="s">
        <v>21</v>
      </c>
      <c r="D140">
        <v>2</v>
      </c>
      <c r="F140" s="2">
        <v>87.7</v>
      </c>
      <c r="G140" t="s">
        <v>10</v>
      </c>
    </row>
    <row r="141" spans="1:7">
      <c r="A141" t="s">
        <v>155</v>
      </c>
      <c r="B141" s="6">
        <v>45658</v>
      </c>
      <c r="C141" t="s">
        <v>21</v>
      </c>
      <c r="D141">
        <v>9</v>
      </c>
      <c r="E141" t="s">
        <v>14</v>
      </c>
      <c r="F141" s="2"/>
      <c r="G141" t="s">
        <v>10</v>
      </c>
    </row>
    <row r="142" spans="1:7">
      <c r="A142" t="s">
        <v>156</v>
      </c>
      <c r="B142" s="6">
        <v>45812</v>
      </c>
      <c r="C142" t="s">
        <v>8</v>
      </c>
      <c r="E142" t="s">
        <v>44</v>
      </c>
      <c r="F142" s="2">
        <v>67.8</v>
      </c>
    </row>
    <row r="143" spans="1:7">
      <c r="A143" t="s">
        <v>157</v>
      </c>
      <c r="B143" s="6">
        <v>46161</v>
      </c>
      <c r="D143">
        <v>9</v>
      </c>
      <c r="E143" t="s">
        <v>36</v>
      </c>
      <c r="F143" s="2">
        <v>62.8</v>
      </c>
      <c r="G143" t="s">
        <v>17</v>
      </c>
    </row>
    <row r="144" spans="1:7">
      <c r="A144" t="s">
        <v>158</v>
      </c>
      <c r="B144" s="6">
        <v>46090</v>
      </c>
      <c r="C144" t="s">
        <v>24</v>
      </c>
      <c r="D144">
        <v>7</v>
      </c>
      <c r="E144" t="s">
        <v>14</v>
      </c>
      <c r="F144" s="2">
        <v>84.9</v>
      </c>
      <c r="G144" t="s">
        <v>10</v>
      </c>
    </row>
    <row r="145" spans="1:7">
      <c r="A145" t="s">
        <v>159</v>
      </c>
      <c r="B145" s="6">
        <v>45786</v>
      </c>
      <c r="C145" t="s">
        <v>21</v>
      </c>
      <c r="D145">
        <v>15</v>
      </c>
      <c r="E145" t="s">
        <v>14</v>
      </c>
      <c r="F145" s="2">
        <v>80.900000000000006</v>
      </c>
      <c r="G145" t="s">
        <v>10</v>
      </c>
    </row>
    <row r="146" spans="1:7">
      <c r="A146" t="s">
        <v>160</v>
      </c>
      <c r="B146" s="6">
        <v>45986</v>
      </c>
      <c r="C146" t="s">
        <v>16</v>
      </c>
      <c r="D146">
        <v>10</v>
      </c>
      <c r="E146" t="s">
        <v>14</v>
      </c>
      <c r="F146" s="2">
        <v>86.6</v>
      </c>
      <c r="G146" t="s">
        <v>10</v>
      </c>
    </row>
    <row r="147" spans="1:7">
      <c r="A147" t="s">
        <v>161</v>
      </c>
      <c r="B147" s="6">
        <v>46182</v>
      </c>
      <c r="C147" t="s">
        <v>24</v>
      </c>
      <c r="D147">
        <v>12</v>
      </c>
      <c r="E147" t="s">
        <v>14</v>
      </c>
      <c r="F147" s="2">
        <v>83.8</v>
      </c>
    </row>
    <row r="148" spans="1:7">
      <c r="A148" t="s">
        <v>162</v>
      </c>
      <c r="B148" s="6">
        <v>45733</v>
      </c>
      <c r="C148" t="s">
        <v>11</v>
      </c>
      <c r="D148">
        <v>5</v>
      </c>
      <c r="E148" t="s">
        <v>12</v>
      </c>
      <c r="F148" s="2">
        <v>54</v>
      </c>
      <c r="G148" t="s">
        <v>27</v>
      </c>
    </row>
    <row r="149" spans="1:7">
      <c r="A149" t="s">
        <v>163</v>
      </c>
      <c r="B149" s="6"/>
      <c r="C149" t="s">
        <v>21</v>
      </c>
      <c r="D149">
        <v>6</v>
      </c>
      <c r="E149" t="s">
        <v>14</v>
      </c>
      <c r="F149" s="2">
        <v>60.6</v>
      </c>
      <c r="G149" t="s">
        <v>25</v>
      </c>
    </row>
    <row r="150" spans="1:7">
      <c r="A150" t="s">
        <v>164</v>
      </c>
      <c r="B150" s="6">
        <v>45961</v>
      </c>
      <c r="C150" t="s">
        <v>21</v>
      </c>
      <c r="D150">
        <v>15</v>
      </c>
      <c r="E150" t="s">
        <v>14</v>
      </c>
      <c r="F150" s="2">
        <v>78.5</v>
      </c>
      <c r="G150" t="s">
        <v>17</v>
      </c>
    </row>
    <row r="151" spans="1:7">
      <c r="A151" t="s">
        <v>165</v>
      </c>
      <c r="B151" s="6">
        <v>45981</v>
      </c>
      <c r="C151" t="s">
        <v>16</v>
      </c>
      <c r="D151">
        <v>12</v>
      </c>
      <c r="E151" t="s">
        <v>12</v>
      </c>
      <c r="F151" s="2">
        <v>63.2</v>
      </c>
      <c r="G151" t="s">
        <v>27</v>
      </c>
    </row>
    <row r="152" spans="1:7">
      <c r="A152" t="s">
        <v>166</v>
      </c>
      <c r="B152" s="6">
        <v>46029</v>
      </c>
      <c r="C152" t="s">
        <v>24</v>
      </c>
      <c r="D152">
        <v>5</v>
      </c>
      <c r="E152" t="s">
        <v>14</v>
      </c>
      <c r="F152" s="2">
        <v>90.6</v>
      </c>
      <c r="G152" t="s">
        <v>10</v>
      </c>
    </row>
    <row r="153" spans="1:7">
      <c r="A153" t="s">
        <v>167</v>
      </c>
      <c r="B153" s="6">
        <v>46194</v>
      </c>
      <c r="C153" t="s">
        <v>21</v>
      </c>
      <c r="D153">
        <v>12</v>
      </c>
      <c r="E153" t="s">
        <v>14</v>
      </c>
      <c r="F153" s="2">
        <v>65.3</v>
      </c>
      <c r="G153" t="s">
        <v>27</v>
      </c>
    </row>
    <row r="154" spans="1:7">
      <c r="A154" t="s">
        <v>168</v>
      </c>
      <c r="B154" s="6">
        <v>45843</v>
      </c>
      <c r="C154" t="s">
        <v>8</v>
      </c>
      <c r="D154">
        <v>9</v>
      </c>
      <c r="E154" t="s">
        <v>12</v>
      </c>
      <c r="F154" s="2">
        <v>51.9</v>
      </c>
      <c r="G154" t="s">
        <v>27</v>
      </c>
    </row>
    <row r="155" spans="1:7">
      <c r="A155" t="s">
        <v>169</v>
      </c>
      <c r="B155" s="6">
        <v>46228</v>
      </c>
      <c r="C155" t="s">
        <v>11</v>
      </c>
      <c r="D155">
        <v>4</v>
      </c>
      <c r="E155" t="s">
        <v>14</v>
      </c>
      <c r="F155" s="2"/>
      <c r="G155" t="s">
        <v>27</v>
      </c>
    </row>
    <row r="156" spans="1:7">
      <c r="A156" t="s">
        <v>170</v>
      </c>
      <c r="B156" s="6">
        <v>46048</v>
      </c>
      <c r="C156" t="s">
        <v>21</v>
      </c>
      <c r="D156">
        <v>7</v>
      </c>
      <c r="E156" t="s">
        <v>14</v>
      </c>
      <c r="F156" s="2">
        <v>59.3</v>
      </c>
      <c r="G156" t="s">
        <v>27</v>
      </c>
    </row>
    <row r="157" spans="1:7">
      <c r="A157" t="s">
        <v>171</v>
      </c>
      <c r="B157" s="6">
        <v>45724</v>
      </c>
      <c r="C157" t="s">
        <v>8</v>
      </c>
      <c r="D157">
        <v>9</v>
      </c>
      <c r="E157" t="s">
        <v>12</v>
      </c>
      <c r="F157" s="2">
        <v>57</v>
      </c>
      <c r="G157" t="s">
        <v>27</v>
      </c>
    </row>
    <row r="158" spans="1:7">
      <c r="A158" t="s">
        <v>172</v>
      </c>
      <c r="B158" s="6">
        <v>45926</v>
      </c>
      <c r="C158" t="s">
        <v>11</v>
      </c>
      <c r="D158">
        <v>1</v>
      </c>
      <c r="E158" t="s">
        <v>12</v>
      </c>
      <c r="F158" s="2"/>
      <c r="G158" t="s">
        <v>27</v>
      </c>
    </row>
    <row r="159" spans="1:7">
      <c r="A159" t="s">
        <v>173</v>
      </c>
      <c r="B159" s="6">
        <v>45990</v>
      </c>
      <c r="C159" t="s">
        <v>16</v>
      </c>
      <c r="D159">
        <v>7</v>
      </c>
      <c r="E159" t="s">
        <v>12</v>
      </c>
      <c r="F159" s="2">
        <v>67.8</v>
      </c>
      <c r="G159" t="s">
        <v>25</v>
      </c>
    </row>
    <row r="160" spans="1:7">
      <c r="A160" t="s">
        <v>174</v>
      </c>
      <c r="B160" s="6">
        <v>45674</v>
      </c>
      <c r="C160" t="s">
        <v>21</v>
      </c>
      <c r="D160">
        <v>2</v>
      </c>
      <c r="E160" t="s">
        <v>14</v>
      </c>
      <c r="F160" s="2">
        <v>68.099999999999994</v>
      </c>
      <c r="G160" t="s">
        <v>27</v>
      </c>
    </row>
    <row r="161" spans="1:7">
      <c r="A161" t="s">
        <v>175</v>
      </c>
      <c r="B161" s="6">
        <v>46173</v>
      </c>
      <c r="C161" t="s">
        <v>8</v>
      </c>
      <c r="D161">
        <v>1</v>
      </c>
      <c r="E161" t="s">
        <v>12</v>
      </c>
      <c r="F161" s="2">
        <v>64.3</v>
      </c>
      <c r="G161" t="s">
        <v>27</v>
      </c>
    </row>
    <row r="162" spans="1:7">
      <c r="A162" t="s">
        <v>176</v>
      </c>
      <c r="B162" s="6">
        <v>45807</v>
      </c>
      <c r="D162">
        <v>3</v>
      </c>
      <c r="E162" t="s">
        <v>12</v>
      </c>
      <c r="F162" s="2">
        <v>76.400000000000006</v>
      </c>
      <c r="G162" t="s">
        <v>27</v>
      </c>
    </row>
    <row r="163" spans="1:7">
      <c r="A163" t="s">
        <v>177</v>
      </c>
      <c r="B163" s="6">
        <v>45739</v>
      </c>
      <c r="C163" t="s">
        <v>19</v>
      </c>
      <c r="D163">
        <v>4</v>
      </c>
      <c r="E163" t="s">
        <v>9</v>
      </c>
      <c r="F163" s="2">
        <v>92.2</v>
      </c>
      <c r="G163" t="s">
        <v>10</v>
      </c>
    </row>
    <row r="164" spans="1:7">
      <c r="A164" t="s">
        <v>178</v>
      </c>
      <c r="B164" s="6">
        <v>46195</v>
      </c>
      <c r="C164" t="s">
        <v>19</v>
      </c>
      <c r="D164">
        <v>1</v>
      </c>
      <c r="E164" t="s">
        <v>14</v>
      </c>
      <c r="F164" s="2"/>
      <c r="G164" t="s">
        <v>27</v>
      </c>
    </row>
    <row r="165" spans="1:7">
      <c r="A165" t="s">
        <v>179</v>
      </c>
      <c r="B165" s="6">
        <v>45962</v>
      </c>
      <c r="C165" t="s">
        <v>24</v>
      </c>
      <c r="E165" t="s">
        <v>14</v>
      </c>
      <c r="F165" s="2">
        <v>65.5</v>
      </c>
      <c r="G165" t="s">
        <v>308</v>
      </c>
    </row>
    <row r="166" spans="1:7">
      <c r="A166" t="s">
        <v>180</v>
      </c>
      <c r="B166" s="6">
        <v>46213</v>
      </c>
      <c r="C166" t="s">
        <v>8</v>
      </c>
      <c r="E166" t="s">
        <v>14</v>
      </c>
      <c r="F166" s="2">
        <v>85.8</v>
      </c>
      <c r="G166" t="s">
        <v>10</v>
      </c>
    </row>
    <row r="167" spans="1:7">
      <c r="A167" t="s">
        <v>181</v>
      </c>
      <c r="B167" s="6">
        <v>45972</v>
      </c>
      <c r="C167" t="s">
        <v>19</v>
      </c>
      <c r="D167">
        <v>12</v>
      </c>
      <c r="E167" t="s">
        <v>14</v>
      </c>
      <c r="F167" s="2">
        <v>69.099999999999994</v>
      </c>
      <c r="G167" t="s">
        <v>27</v>
      </c>
    </row>
    <row r="168" spans="1:7">
      <c r="A168" t="s">
        <v>182</v>
      </c>
      <c r="B168" s="6">
        <v>45698</v>
      </c>
      <c r="C168" t="s">
        <v>8</v>
      </c>
      <c r="D168">
        <v>0</v>
      </c>
      <c r="E168" t="s">
        <v>14</v>
      </c>
      <c r="F168" s="2">
        <v>66.599999999999994</v>
      </c>
      <c r="G168" t="s">
        <v>25</v>
      </c>
    </row>
    <row r="169" spans="1:7">
      <c r="A169" t="s">
        <v>183</v>
      </c>
      <c r="B169" s="6">
        <v>46198</v>
      </c>
      <c r="C169" t="s">
        <v>16</v>
      </c>
      <c r="E169" t="s">
        <v>14</v>
      </c>
      <c r="F169" s="2">
        <v>79.3</v>
      </c>
      <c r="G169" t="s">
        <v>17</v>
      </c>
    </row>
    <row r="170" spans="1:7">
      <c r="A170" t="s">
        <v>184</v>
      </c>
      <c r="B170" s="6">
        <v>45746</v>
      </c>
      <c r="D170">
        <v>8</v>
      </c>
      <c r="E170" t="s">
        <v>44</v>
      </c>
      <c r="F170" s="2"/>
      <c r="G170" t="s">
        <v>10</v>
      </c>
    </row>
    <row r="171" spans="1:7">
      <c r="A171" t="s">
        <v>185</v>
      </c>
      <c r="B171" s="6">
        <v>46179</v>
      </c>
      <c r="C171" t="s">
        <v>16</v>
      </c>
      <c r="D171">
        <v>2</v>
      </c>
      <c r="E171" t="s">
        <v>14</v>
      </c>
      <c r="F171" s="2">
        <v>44.1</v>
      </c>
      <c r="G171" t="s">
        <v>17</v>
      </c>
    </row>
    <row r="172" spans="1:7">
      <c r="A172" t="s">
        <v>186</v>
      </c>
      <c r="B172" s="6">
        <v>46010</v>
      </c>
      <c r="C172" t="s">
        <v>8</v>
      </c>
      <c r="D172">
        <v>3</v>
      </c>
      <c r="E172" t="s">
        <v>12</v>
      </c>
      <c r="F172" s="2">
        <v>72.8</v>
      </c>
      <c r="G172" t="s">
        <v>17</v>
      </c>
    </row>
    <row r="173" spans="1:7">
      <c r="A173" t="s">
        <v>187</v>
      </c>
      <c r="B173" s="6">
        <v>46226</v>
      </c>
      <c r="C173" t="s">
        <v>8</v>
      </c>
      <c r="D173">
        <v>1</v>
      </c>
      <c r="E173" t="s">
        <v>9</v>
      </c>
      <c r="F173" s="2">
        <v>46.6</v>
      </c>
    </row>
    <row r="174" spans="1:7">
      <c r="A174" t="s">
        <v>188</v>
      </c>
      <c r="B174" s="6">
        <v>45988</v>
      </c>
      <c r="C174" t="s">
        <v>21</v>
      </c>
      <c r="D174">
        <v>11</v>
      </c>
      <c r="E174" t="s">
        <v>9</v>
      </c>
      <c r="F174" s="2">
        <v>92.5</v>
      </c>
      <c r="G174" t="s">
        <v>10</v>
      </c>
    </row>
    <row r="175" spans="1:7">
      <c r="A175" t="s">
        <v>189</v>
      </c>
      <c r="B175" s="6">
        <v>45675</v>
      </c>
      <c r="C175" t="s">
        <v>21</v>
      </c>
      <c r="D175">
        <v>-9</v>
      </c>
      <c r="E175" t="s">
        <v>14</v>
      </c>
      <c r="F175" s="2">
        <v>83.7</v>
      </c>
      <c r="G175" t="s">
        <v>10</v>
      </c>
    </row>
    <row r="176" spans="1:7">
      <c r="A176" t="s">
        <v>190</v>
      </c>
      <c r="B176" s="6">
        <v>45682</v>
      </c>
      <c r="C176" t="s">
        <v>21</v>
      </c>
      <c r="D176">
        <v>5</v>
      </c>
      <c r="E176" t="s">
        <v>12</v>
      </c>
      <c r="F176" s="2">
        <v>75.5</v>
      </c>
      <c r="G176" t="s">
        <v>25</v>
      </c>
    </row>
    <row r="177" spans="1:7">
      <c r="A177" t="s">
        <v>191</v>
      </c>
      <c r="B177" s="6">
        <v>45658</v>
      </c>
      <c r="D177">
        <v>4</v>
      </c>
      <c r="E177" t="s">
        <v>14</v>
      </c>
      <c r="F177" s="2">
        <v>74</v>
      </c>
      <c r="G177" t="s">
        <v>17</v>
      </c>
    </row>
    <row r="178" spans="1:7">
      <c r="A178" t="s">
        <v>192</v>
      </c>
      <c r="B178" s="6">
        <v>45833</v>
      </c>
      <c r="D178">
        <v>7</v>
      </c>
      <c r="E178" t="s">
        <v>14</v>
      </c>
      <c r="F178" s="2">
        <v>77.099999999999994</v>
      </c>
      <c r="G178" t="s">
        <v>27</v>
      </c>
    </row>
    <row r="179" spans="1:7">
      <c r="A179" t="s">
        <v>193</v>
      </c>
      <c r="B179" s="6">
        <v>45668</v>
      </c>
      <c r="C179" t="s">
        <v>21</v>
      </c>
      <c r="D179">
        <v>6</v>
      </c>
      <c r="E179" t="s">
        <v>9</v>
      </c>
      <c r="F179" s="2">
        <v>70.099999999999994</v>
      </c>
      <c r="G179" t="s">
        <v>27</v>
      </c>
    </row>
    <row r="180" spans="1:7">
      <c r="A180" t="s">
        <v>194</v>
      </c>
      <c r="B180" s="6">
        <v>46182</v>
      </c>
      <c r="C180" t="s">
        <v>11</v>
      </c>
      <c r="D180">
        <v>14</v>
      </c>
      <c r="E180" t="s">
        <v>12</v>
      </c>
      <c r="F180" s="2">
        <v>79.099999999999994</v>
      </c>
      <c r="G180" t="s">
        <v>27</v>
      </c>
    </row>
    <row r="181" spans="1:7">
      <c r="A181" t="s">
        <v>195</v>
      </c>
      <c r="B181" s="6">
        <v>45841</v>
      </c>
      <c r="C181" t="s">
        <v>16</v>
      </c>
      <c r="D181">
        <v>13</v>
      </c>
      <c r="E181" t="s">
        <v>9</v>
      </c>
      <c r="F181" s="2">
        <v>73.8</v>
      </c>
      <c r="G181" t="s">
        <v>27</v>
      </c>
    </row>
    <row r="182" spans="1:7">
      <c r="A182" t="s">
        <v>196</v>
      </c>
      <c r="B182" s="6">
        <v>45961</v>
      </c>
      <c r="C182" t="s">
        <v>16</v>
      </c>
      <c r="D182">
        <v>7</v>
      </c>
      <c r="E182" t="s">
        <v>14</v>
      </c>
      <c r="F182" s="2">
        <v>70.599999999999994</v>
      </c>
      <c r="G182" t="s">
        <v>27</v>
      </c>
    </row>
    <row r="183" spans="1:7">
      <c r="A183" t="s">
        <v>197</v>
      </c>
      <c r="B183" s="6">
        <v>45738</v>
      </c>
      <c r="C183" t="s">
        <v>24</v>
      </c>
      <c r="D183">
        <v>7</v>
      </c>
      <c r="E183" t="s">
        <v>9</v>
      </c>
      <c r="F183" s="2">
        <v>46.8</v>
      </c>
      <c r="G183" t="s">
        <v>27</v>
      </c>
    </row>
    <row r="184" spans="1:7">
      <c r="A184" t="s">
        <v>198</v>
      </c>
      <c r="B184" s="6">
        <v>46141</v>
      </c>
      <c r="D184">
        <v>9</v>
      </c>
      <c r="E184" t="s">
        <v>14</v>
      </c>
      <c r="F184" s="2">
        <v>27.4</v>
      </c>
      <c r="G184" t="s">
        <v>17</v>
      </c>
    </row>
    <row r="185" spans="1:7">
      <c r="A185" t="s">
        <v>199</v>
      </c>
      <c r="B185" s="6">
        <v>46163</v>
      </c>
      <c r="C185" t="s">
        <v>19</v>
      </c>
      <c r="E185" t="s">
        <v>9</v>
      </c>
      <c r="F185" s="2">
        <v>72.5</v>
      </c>
      <c r="G185" t="s">
        <v>17</v>
      </c>
    </row>
    <row r="186" spans="1:7">
      <c r="A186" t="s">
        <v>200</v>
      </c>
      <c r="B186" s="6"/>
      <c r="C186" t="s">
        <v>24</v>
      </c>
      <c r="D186">
        <v>2</v>
      </c>
      <c r="E186" t="s">
        <v>14</v>
      </c>
      <c r="F186" s="2">
        <v>66</v>
      </c>
      <c r="G186" t="s">
        <v>17</v>
      </c>
    </row>
    <row r="187" spans="1:7">
      <c r="A187" t="s">
        <v>201</v>
      </c>
      <c r="B187" s="6">
        <v>45975</v>
      </c>
      <c r="C187" t="s">
        <v>19</v>
      </c>
      <c r="E187" t="s">
        <v>9</v>
      </c>
      <c r="F187" s="2">
        <v>95.4</v>
      </c>
      <c r="G187" t="s">
        <v>27</v>
      </c>
    </row>
    <row r="188" spans="1:7">
      <c r="A188" t="s">
        <v>202</v>
      </c>
      <c r="B188" s="6">
        <v>46028</v>
      </c>
      <c r="C188" t="s">
        <v>16</v>
      </c>
      <c r="D188">
        <v>15</v>
      </c>
      <c r="E188" t="s">
        <v>12</v>
      </c>
      <c r="F188" s="2">
        <v>98.1</v>
      </c>
      <c r="G188" t="s">
        <v>10</v>
      </c>
    </row>
    <row r="189" spans="1:7">
      <c r="A189" t="s">
        <v>203</v>
      </c>
      <c r="B189" s="6">
        <v>45797</v>
      </c>
      <c r="C189" t="s">
        <v>21</v>
      </c>
      <c r="D189">
        <v>4</v>
      </c>
      <c r="E189" t="s">
        <v>9</v>
      </c>
      <c r="F189" s="2">
        <v>66.3</v>
      </c>
      <c r="G189" t="s">
        <v>25</v>
      </c>
    </row>
    <row r="190" spans="1:7">
      <c r="A190" t="s">
        <v>204</v>
      </c>
      <c r="B190" s="6">
        <v>45874</v>
      </c>
      <c r="C190" t="s">
        <v>19</v>
      </c>
      <c r="D190">
        <v>12</v>
      </c>
      <c r="E190" t="s">
        <v>14</v>
      </c>
      <c r="F190" s="2">
        <v>85.3</v>
      </c>
      <c r="G190" t="s">
        <v>10</v>
      </c>
    </row>
    <row r="191" spans="1:7">
      <c r="A191" t="s">
        <v>205</v>
      </c>
      <c r="B191" s="6">
        <v>46013</v>
      </c>
      <c r="C191" t="s">
        <v>21</v>
      </c>
      <c r="D191">
        <v>15</v>
      </c>
      <c r="E191" t="s">
        <v>14</v>
      </c>
      <c r="F191" s="2">
        <v>60.5</v>
      </c>
      <c r="G191" t="s">
        <v>17</v>
      </c>
    </row>
    <row r="192" spans="1:7">
      <c r="A192" t="s">
        <v>206</v>
      </c>
      <c r="B192" s="6">
        <v>45718</v>
      </c>
      <c r="C192" t="s">
        <v>8</v>
      </c>
      <c r="D192">
        <v>11</v>
      </c>
      <c r="E192" t="s">
        <v>14</v>
      </c>
      <c r="F192" s="2">
        <v>77.900000000000006</v>
      </c>
      <c r="G192" t="s">
        <v>25</v>
      </c>
    </row>
    <row r="193" spans="1:7">
      <c r="A193" t="s">
        <v>207</v>
      </c>
      <c r="B193" s="6">
        <v>45871</v>
      </c>
      <c r="C193" t="s">
        <v>21</v>
      </c>
      <c r="D193">
        <v>13</v>
      </c>
      <c r="F193" s="2">
        <v>87.6</v>
      </c>
      <c r="G193" t="s">
        <v>10</v>
      </c>
    </row>
    <row r="194" spans="1:7">
      <c r="B194" s="6">
        <v>45720</v>
      </c>
      <c r="C194" t="s">
        <v>11</v>
      </c>
      <c r="D194">
        <v>12</v>
      </c>
      <c r="E194" t="s">
        <v>44</v>
      </c>
      <c r="F194" s="2">
        <v>86.1</v>
      </c>
      <c r="G194" t="s">
        <v>10</v>
      </c>
    </row>
    <row r="195" spans="1:7">
      <c r="A195" t="s">
        <v>208</v>
      </c>
      <c r="B195" s="6">
        <v>46159</v>
      </c>
      <c r="C195" t="s">
        <v>16</v>
      </c>
      <c r="D195">
        <v>4</v>
      </c>
      <c r="E195" t="s">
        <v>12</v>
      </c>
      <c r="F195" s="2">
        <v>33.4</v>
      </c>
      <c r="G195" t="s">
        <v>17</v>
      </c>
    </row>
    <row r="196" spans="1:7">
      <c r="A196" t="s">
        <v>209</v>
      </c>
      <c r="B196" s="6">
        <v>45816</v>
      </c>
      <c r="C196" t="s">
        <v>24</v>
      </c>
      <c r="D196">
        <v>5</v>
      </c>
      <c r="E196" t="s">
        <v>12</v>
      </c>
      <c r="F196" s="2">
        <v>53.9</v>
      </c>
      <c r="G196" t="s">
        <v>25</v>
      </c>
    </row>
    <row r="197" spans="1:7">
      <c r="A197" t="s">
        <v>210</v>
      </c>
      <c r="B197" s="6">
        <v>45835</v>
      </c>
      <c r="C197" t="s">
        <v>8</v>
      </c>
      <c r="D197">
        <v>5</v>
      </c>
      <c r="E197" t="s">
        <v>12</v>
      </c>
      <c r="F197" s="2">
        <v>68.2</v>
      </c>
      <c r="G197" t="s">
        <v>305</v>
      </c>
    </row>
    <row r="198" spans="1:7">
      <c r="A198" t="s">
        <v>211</v>
      </c>
      <c r="B198" s="6">
        <v>45843</v>
      </c>
      <c r="C198" t="s">
        <v>11</v>
      </c>
      <c r="D198" t="s">
        <v>303</v>
      </c>
      <c r="E198" t="s">
        <v>14</v>
      </c>
      <c r="F198" s="2">
        <v>58.5</v>
      </c>
      <c r="G198" t="s">
        <v>27</v>
      </c>
    </row>
    <row r="199" spans="1:7">
      <c r="A199" t="s">
        <v>212</v>
      </c>
      <c r="B199" s="6">
        <v>46107</v>
      </c>
      <c r="C199" t="s">
        <v>19</v>
      </c>
      <c r="D199">
        <v>0</v>
      </c>
      <c r="E199" t="s">
        <v>12</v>
      </c>
      <c r="F199" s="2">
        <v>49.6</v>
      </c>
      <c r="G199" t="s">
        <v>27</v>
      </c>
    </row>
    <row r="200" spans="1:7">
      <c r="A200" t="s">
        <v>213</v>
      </c>
      <c r="B200" s="6">
        <v>45767</v>
      </c>
      <c r="C200" t="s">
        <v>19</v>
      </c>
      <c r="D200">
        <v>12</v>
      </c>
      <c r="E200" t="s">
        <v>12</v>
      </c>
      <c r="F200" s="2">
        <v>73.7</v>
      </c>
      <c r="G200" t="s">
        <v>27</v>
      </c>
    </row>
    <row r="201" spans="1:7">
      <c r="A201" t="s">
        <v>214</v>
      </c>
      <c r="B201" s="6">
        <v>45892</v>
      </c>
      <c r="C201" t="s">
        <v>307</v>
      </c>
      <c r="D201">
        <v>14</v>
      </c>
      <c r="E201" t="s">
        <v>14</v>
      </c>
      <c r="F201" s="2">
        <v>84.2</v>
      </c>
      <c r="G201" t="s">
        <v>10</v>
      </c>
    </row>
    <row r="202" spans="1:7">
      <c r="A202" t="s">
        <v>215</v>
      </c>
      <c r="B202" s="6">
        <v>45886</v>
      </c>
      <c r="C202" t="s">
        <v>8</v>
      </c>
      <c r="D202">
        <v>7</v>
      </c>
      <c r="E202" t="s">
        <v>12</v>
      </c>
      <c r="F202" s="2">
        <v>89.5</v>
      </c>
      <c r="G202" t="s">
        <v>10</v>
      </c>
    </row>
    <row r="203" spans="1:7">
      <c r="A203" t="s">
        <v>209</v>
      </c>
      <c r="B203" s="6">
        <v>45816</v>
      </c>
      <c r="C203" t="s">
        <v>24</v>
      </c>
      <c r="D203">
        <v>5</v>
      </c>
      <c r="E203" t="s">
        <v>12</v>
      </c>
      <c r="F203" s="2">
        <v>53.9</v>
      </c>
      <c r="G203" t="s">
        <v>25</v>
      </c>
    </row>
    <row r="204" spans="1:7">
      <c r="A204" t="s">
        <v>216</v>
      </c>
      <c r="B204" s="6">
        <v>46112</v>
      </c>
      <c r="C204" t="s">
        <v>16</v>
      </c>
      <c r="D204">
        <v>11</v>
      </c>
      <c r="E204" t="s">
        <v>12</v>
      </c>
      <c r="F204" s="2">
        <v>75</v>
      </c>
      <c r="G204" t="s">
        <v>25</v>
      </c>
    </row>
    <row r="205" spans="1:7">
      <c r="A205" t="s">
        <v>217</v>
      </c>
      <c r="B205" s="6">
        <v>45783</v>
      </c>
      <c r="C205" t="s">
        <v>8</v>
      </c>
      <c r="D205">
        <v>0</v>
      </c>
      <c r="F205" s="2">
        <v>59.7</v>
      </c>
      <c r="G205" t="s">
        <v>17</v>
      </c>
    </row>
    <row r="206" spans="1:7">
      <c r="A206" t="s">
        <v>218</v>
      </c>
      <c r="B206" s="6">
        <v>46093</v>
      </c>
      <c r="C206" t="s">
        <v>21</v>
      </c>
      <c r="D206">
        <v>0</v>
      </c>
      <c r="E206" t="s">
        <v>14</v>
      </c>
      <c r="F206" s="2">
        <v>63.4</v>
      </c>
      <c r="G206" t="s">
        <v>27</v>
      </c>
    </row>
    <row r="207" spans="1:7">
      <c r="A207" t="s">
        <v>219</v>
      </c>
      <c r="B207" s="6">
        <v>45811</v>
      </c>
      <c r="C207" t="s">
        <v>24</v>
      </c>
      <c r="D207">
        <v>0</v>
      </c>
      <c r="E207" t="s">
        <v>9</v>
      </c>
      <c r="F207" s="2">
        <v>72.900000000000006</v>
      </c>
      <c r="G207" t="s">
        <v>17</v>
      </c>
    </row>
    <row r="208" spans="1:7">
      <c r="A208" t="s">
        <v>220</v>
      </c>
      <c r="B208" s="6">
        <v>45815</v>
      </c>
      <c r="C208" t="s">
        <v>16</v>
      </c>
      <c r="D208">
        <v>7</v>
      </c>
      <c r="E208" t="s">
        <v>12</v>
      </c>
      <c r="F208" s="2">
        <v>92.4</v>
      </c>
      <c r="G208" t="s">
        <v>10</v>
      </c>
    </row>
    <row r="209" spans="1:7">
      <c r="A209" t="s">
        <v>221</v>
      </c>
      <c r="B209" s="6"/>
      <c r="C209" t="s">
        <v>19</v>
      </c>
      <c r="D209">
        <v>7</v>
      </c>
      <c r="E209" t="s">
        <v>14</v>
      </c>
      <c r="F209" s="2">
        <v>54.5</v>
      </c>
      <c r="G209" t="s">
        <v>17</v>
      </c>
    </row>
    <row r="210" spans="1:7">
      <c r="A210" t="s">
        <v>222</v>
      </c>
      <c r="B210" s="6">
        <v>46218</v>
      </c>
      <c r="C210" t="s">
        <v>8</v>
      </c>
      <c r="D210">
        <v>11</v>
      </c>
      <c r="E210" t="s">
        <v>14</v>
      </c>
      <c r="F210" s="2">
        <v>87.2</v>
      </c>
      <c r="G210" t="s">
        <v>10</v>
      </c>
    </row>
    <row r="211" spans="1:7">
      <c r="A211" t="s">
        <v>223</v>
      </c>
      <c r="B211" s="6">
        <v>46197</v>
      </c>
      <c r="C211" t="s">
        <v>19</v>
      </c>
      <c r="D211">
        <v>8</v>
      </c>
      <c r="F211" s="2">
        <v>91.3</v>
      </c>
      <c r="G211" t="s">
        <v>10</v>
      </c>
    </row>
    <row r="212" spans="1:7">
      <c r="A212" t="s">
        <v>224</v>
      </c>
      <c r="B212" s="6">
        <v>45718</v>
      </c>
      <c r="C212" t="s">
        <v>11</v>
      </c>
      <c r="D212">
        <v>12</v>
      </c>
      <c r="E212" t="s">
        <v>12</v>
      </c>
      <c r="F212" s="2">
        <v>69.5</v>
      </c>
      <c r="G212" t="s">
        <v>25</v>
      </c>
    </row>
    <row r="213" spans="1:7">
      <c r="A213" t="s">
        <v>225</v>
      </c>
      <c r="B213" s="6">
        <v>46124</v>
      </c>
      <c r="C213" t="s">
        <v>8</v>
      </c>
      <c r="D213">
        <v>14</v>
      </c>
      <c r="E213" t="s">
        <v>14</v>
      </c>
      <c r="F213" s="2">
        <v>80.3</v>
      </c>
      <c r="G213" t="s">
        <v>10</v>
      </c>
    </row>
    <row r="214" spans="1:7">
      <c r="A214" t="s">
        <v>226</v>
      </c>
      <c r="B214" s="6">
        <v>46174</v>
      </c>
      <c r="C214" t="s">
        <v>11</v>
      </c>
      <c r="D214" t="s">
        <v>306</v>
      </c>
      <c r="E214" t="s">
        <v>9</v>
      </c>
      <c r="F214" s="2">
        <v>75.7</v>
      </c>
      <c r="G214" t="s">
        <v>25</v>
      </c>
    </row>
    <row r="215" spans="1:7">
      <c r="A215" t="s">
        <v>227</v>
      </c>
      <c r="B215" s="6">
        <v>46047</v>
      </c>
      <c r="C215" t="s">
        <v>24</v>
      </c>
      <c r="D215">
        <v>9</v>
      </c>
      <c r="E215" t="s">
        <v>44</v>
      </c>
      <c r="F215" s="2">
        <v>63.5</v>
      </c>
      <c r="G215" t="s">
        <v>27</v>
      </c>
    </row>
    <row r="216" spans="1:7">
      <c r="A216" t="s">
        <v>228</v>
      </c>
      <c r="B216" s="6">
        <v>45885</v>
      </c>
      <c r="D216">
        <v>15</v>
      </c>
      <c r="E216" t="s">
        <v>12</v>
      </c>
      <c r="F216" s="2">
        <v>78</v>
      </c>
      <c r="G216" t="s">
        <v>27</v>
      </c>
    </row>
    <row r="217" spans="1:7">
      <c r="B217" s="6">
        <v>46076</v>
      </c>
      <c r="C217" t="s">
        <v>24</v>
      </c>
      <c r="D217">
        <v>12</v>
      </c>
      <c r="E217" t="s">
        <v>14</v>
      </c>
      <c r="F217" s="2">
        <v>86</v>
      </c>
      <c r="G217" t="s">
        <v>10</v>
      </c>
    </row>
    <row r="218" spans="1:7">
      <c r="A218" t="s">
        <v>229</v>
      </c>
      <c r="B218" s="6">
        <v>45859</v>
      </c>
      <c r="C218" t="s">
        <v>24</v>
      </c>
      <c r="D218">
        <v>6</v>
      </c>
      <c r="E218" t="s">
        <v>14</v>
      </c>
      <c r="F218" s="2">
        <v>59.5</v>
      </c>
      <c r="G218" t="s">
        <v>17</v>
      </c>
    </row>
    <row r="219" spans="1:7">
      <c r="A219" t="s">
        <v>230</v>
      </c>
      <c r="B219" s="6">
        <v>45961</v>
      </c>
      <c r="C219" t="s">
        <v>16</v>
      </c>
      <c r="D219">
        <v>0</v>
      </c>
      <c r="E219" t="s">
        <v>14</v>
      </c>
      <c r="F219" s="2">
        <v>47</v>
      </c>
      <c r="G219" t="s">
        <v>17</v>
      </c>
    </row>
    <row r="220" spans="1:7">
      <c r="A220" t="s">
        <v>231</v>
      </c>
      <c r="B220" s="6">
        <v>45801</v>
      </c>
      <c r="C220" t="s">
        <v>21</v>
      </c>
      <c r="D220">
        <v>14</v>
      </c>
      <c r="F220" s="2">
        <v>63.8</v>
      </c>
      <c r="G220" t="s">
        <v>17</v>
      </c>
    </row>
    <row r="221" spans="1:7">
      <c r="A221" t="s">
        <v>232</v>
      </c>
      <c r="B221" s="6">
        <v>45854</v>
      </c>
      <c r="C221" t="s">
        <v>11</v>
      </c>
      <c r="D221">
        <v>0</v>
      </c>
      <c r="E221" t="s">
        <v>14</v>
      </c>
      <c r="F221" s="2">
        <v>89.6</v>
      </c>
      <c r="G221" t="s">
        <v>27</v>
      </c>
    </row>
    <row r="222" spans="1:7">
      <c r="A222" t="s">
        <v>233</v>
      </c>
      <c r="B222" s="6">
        <v>45828</v>
      </c>
      <c r="C222" t="s">
        <v>19</v>
      </c>
      <c r="D222">
        <v>7</v>
      </c>
      <c r="E222" t="s">
        <v>309</v>
      </c>
      <c r="F222" s="2">
        <v>89.2</v>
      </c>
    </row>
    <row r="223" spans="1:7">
      <c r="A223" t="s">
        <v>234</v>
      </c>
      <c r="B223" s="6">
        <v>45728</v>
      </c>
      <c r="C223" t="s">
        <v>8</v>
      </c>
      <c r="D223">
        <v>14</v>
      </c>
      <c r="E223" t="s">
        <v>106</v>
      </c>
      <c r="F223" s="2">
        <v>100</v>
      </c>
    </row>
    <row r="224" spans="1:7">
      <c r="A224" t="s">
        <v>235</v>
      </c>
      <c r="B224" s="6">
        <v>46225</v>
      </c>
      <c r="C224" t="s">
        <v>21</v>
      </c>
      <c r="D224">
        <v>6</v>
      </c>
      <c r="E224" t="s">
        <v>14</v>
      </c>
      <c r="F224" s="2">
        <v>54.7</v>
      </c>
      <c r="G224" t="s">
        <v>17</v>
      </c>
    </row>
    <row r="225" spans="1:7">
      <c r="A225" t="s">
        <v>236</v>
      </c>
      <c r="B225" s="6">
        <v>45938</v>
      </c>
      <c r="D225">
        <v>12</v>
      </c>
      <c r="E225" t="s">
        <v>14</v>
      </c>
      <c r="F225" s="2">
        <v>64.599999999999994</v>
      </c>
      <c r="G225" t="s">
        <v>27</v>
      </c>
    </row>
    <row r="226" spans="1:7">
      <c r="A226" t="s">
        <v>237</v>
      </c>
      <c r="B226" s="6">
        <v>45712</v>
      </c>
      <c r="C226" t="s">
        <v>21</v>
      </c>
      <c r="D226">
        <v>14</v>
      </c>
      <c r="E226" t="s">
        <v>14</v>
      </c>
      <c r="F226" s="2">
        <v>89.6</v>
      </c>
      <c r="G226" t="s">
        <v>10</v>
      </c>
    </row>
    <row r="227" spans="1:7">
      <c r="A227" t="s">
        <v>238</v>
      </c>
      <c r="B227" s="6">
        <v>46010</v>
      </c>
      <c r="C227" t="s">
        <v>24</v>
      </c>
      <c r="D227">
        <v>9</v>
      </c>
      <c r="E227" t="s">
        <v>12</v>
      </c>
      <c r="F227" s="2">
        <v>66.3</v>
      </c>
      <c r="G227" t="s">
        <v>17</v>
      </c>
    </row>
    <row r="228" spans="1:7">
      <c r="A228" t="s">
        <v>239</v>
      </c>
      <c r="B228" s="6">
        <v>45744</v>
      </c>
      <c r="C228" t="s">
        <v>16</v>
      </c>
      <c r="D228">
        <v>12</v>
      </c>
      <c r="E228" t="s">
        <v>12</v>
      </c>
      <c r="F228" s="2">
        <v>74.900000000000006</v>
      </c>
      <c r="G228" t="s">
        <v>25</v>
      </c>
    </row>
    <row r="229" spans="1:7">
      <c r="A229" t="s">
        <v>240</v>
      </c>
      <c r="B229" s="6">
        <v>45665</v>
      </c>
      <c r="C229" t="s">
        <v>19</v>
      </c>
      <c r="D229">
        <v>2</v>
      </c>
      <c r="E229" t="s">
        <v>14</v>
      </c>
      <c r="F229" s="2">
        <v>70.900000000000006</v>
      </c>
    </row>
    <row r="230" spans="1:7">
      <c r="A230" t="s">
        <v>241</v>
      </c>
      <c r="B230" s="6">
        <v>46165</v>
      </c>
      <c r="C230" t="s">
        <v>21</v>
      </c>
      <c r="D230">
        <v>6</v>
      </c>
      <c r="E230" t="s">
        <v>14</v>
      </c>
      <c r="F230" s="2">
        <v>96.3</v>
      </c>
      <c r="G230" t="s">
        <v>10</v>
      </c>
    </row>
    <row r="231" spans="1:7">
      <c r="A231" t="s">
        <v>242</v>
      </c>
      <c r="B231" s="6">
        <v>46197</v>
      </c>
      <c r="C231" t="s">
        <v>24</v>
      </c>
      <c r="D231">
        <v>5</v>
      </c>
      <c r="E231" t="s">
        <v>9</v>
      </c>
      <c r="F231" s="2">
        <v>62.1</v>
      </c>
      <c r="G231" t="s">
        <v>25</v>
      </c>
    </row>
    <row r="232" spans="1:7">
      <c r="A232" t="s">
        <v>243</v>
      </c>
      <c r="B232" s="6">
        <v>45777</v>
      </c>
      <c r="C232" t="s">
        <v>16</v>
      </c>
      <c r="D232">
        <v>15</v>
      </c>
      <c r="E232" t="s">
        <v>14</v>
      </c>
      <c r="F232" s="2">
        <v>58.1</v>
      </c>
      <c r="G232" t="s">
        <v>27</v>
      </c>
    </row>
    <row r="233" spans="1:7">
      <c r="A233" t="s">
        <v>244</v>
      </c>
      <c r="B233" s="6">
        <v>45913</v>
      </c>
      <c r="C233" t="s">
        <v>8</v>
      </c>
      <c r="D233">
        <v>11</v>
      </c>
      <c r="E233" t="s">
        <v>14</v>
      </c>
      <c r="F233" s="2">
        <v>83.6</v>
      </c>
      <c r="G233" t="s">
        <v>10</v>
      </c>
    </row>
    <row r="234" spans="1:7">
      <c r="A234" t="s">
        <v>245</v>
      </c>
      <c r="B234" s="6">
        <v>45906</v>
      </c>
      <c r="C234" t="s">
        <v>11</v>
      </c>
      <c r="D234">
        <v>15</v>
      </c>
      <c r="E234" t="s">
        <v>14</v>
      </c>
      <c r="F234" s="2">
        <v>81.099999999999994</v>
      </c>
      <c r="G234" t="s">
        <v>10</v>
      </c>
    </row>
    <row r="235" spans="1:7">
      <c r="A235" t="s">
        <v>246</v>
      </c>
      <c r="B235" s="6">
        <v>46132</v>
      </c>
      <c r="C235" t="s">
        <v>8</v>
      </c>
      <c r="D235">
        <v>5</v>
      </c>
      <c r="E235" t="s">
        <v>14</v>
      </c>
      <c r="F235" s="2">
        <v>58</v>
      </c>
      <c r="G235" t="s">
        <v>27</v>
      </c>
    </row>
    <row r="236" spans="1:7">
      <c r="A236" t="s">
        <v>247</v>
      </c>
      <c r="B236" s="6">
        <v>45985</v>
      </c>
      <c r="C236" t="s">
        <v>16</v>
      </c>
      <c r="D236">
        <v>7</v>
      </c>
      <c r="E236" t="s">
        <v>14</v>
      </c>
      <c r="F236" s="2">
        <v>68.099999999999994</v>
      </c>
      <c r="G236" t="s">
        <v>17</v>
      </c>
    </row>
    <row r="237" spans="1:7">
      <c r="A237" t="s">
        <v>248</v>
      </c>
      <c r="B237" s="6">
        <v>46148</v>
      </c>
      <c r="C237" t="s">
        <v>16</v>
      </c>
      <c r="E237" t="s">
        <v>14</v>
      </c>
      <c r="F237" s="2">
        <v>79.8</v>
      </c>
      <c r="G237" t="s">
        <v>17</v>
      </c>
    </row>
    <row r="238" spans="1:7">
      <c r="A238" t="s">
        <v>249</v>
      </c>
      <c r="B238" s="6">
        <v>46188</v>
      </c>
      <c r="C238" t="s">
        <v>16</v>
      </c>
      <c r="D238">
        <v>1</v>
      </c>
      <c r="E238" t="s">
        <v>14</v>
      </c>
      <c r="F238" s="2">
        <v>61.5</v>
      </c>
      <c r="G238" t="s">
        <v>25</v>
      </c>
    </row>
    <row r="239" spans="1:7">
      <c r="A239" t="s">
        <v>250</v>
      </c>
      <c r="B239" s="6">
        <v>46023</v>
      </c>
      <c r="C239" t="s">
        <v>16</v>
      </c>
      <c r="D239">
        <v>3</v>
      </c>
      <c r="E239" t="s">
        <v>12</v>
      </c>
      <c r="F239" s="2">
        <v>74.400000000000006</v>
      </c>
      <c r="G239" t="s">
        <v>27</v>
      </c>
    </row>
    <row r="240" spans="1:7">
      <c r="A240" t="s">
        <v>144</v>
      </c>
      <c r="B240" s="6">
        <v>45836</v>
      </c>
      <c r="C240" t="s">
        <v>16</v>
      </c>
      <c r="D240">
        <v>4</v>
      </c>
      <c r="E240" t="s">
        <v>14</v>
      </c>
      <c r="F240" s="2">
        <v>87.6</v>
      </c>
      <c r="G240" t="s">
        <v>10</v>
      </c>
    </row>
    <row r="241" spans="1:7">
      <c r="A241" t="s">
        <v>251</v>
      </c>
      <c r="B241" s="6">
        <v>46159</v>
      </c>
      <c r="C241" t="s">
        <v>24</v>
      </c>
      <c r="D241">
        <v>10</v>
      </c>
      <c r="E241" t="s">
        <v>14</v>
      </c>
      <c r="F241" s="2">
        <v>70.900000000000006</v>
      </c>
      <c r="G241" t="s">
        <v>17</v>
      </c>
    </row>
    <row r="242" spans="1:7">
      <c r="A242" t="s">
        <v>252</v>
      </c>
      <c r="B242" s="6">
        <v>46076</v>
      </c>
      <c r="C242" t="s">
        <v>310</v>
      </c>
      <c r="D242">
        <v>12</v>
      </c>
      <c r="E242" t="s">
        <v>14</v>
      </c>
      <c r="F242" s="2">
        <v>86</v>
      </c>
    </row>
    <row r="243" spans="1:7">
      <c r="A243" t="s">
        <v>253</v>
      </c>
      <c r="B243" s="6">
        <v>45698</v>
      </c>
      <c r="C243" t="s">
        <v>8</v>
      </c>
      <c r="D243">
        <v>13</v>
      </c>
      <c r="E243" t="s">
        <v>9</v>
      </c>
      <c r="F243" s="2">
        <v>87</v>
      </c>
      <c r="G243" t="s">
        <v>10</v>
      </c>
    </row>
    <row r="244" spans="1:7">
      <c r="A244" t="s">
        <v>18</v>
      </c>
      <c r="B244" s="6">
        <v>46154</v>
      </c>
      <c r="C244" t="s">
        <v>19</v>
      </c>
      <c r="D244">
        <v>7</v>
      </c>
      <c r="E244" t="s">
        <v>12</v>
      </c>
      <c r="F244" s="2">
        <v>83.5</v>
      </c>
      <c r="G244" t="s">
        <v>10</v>
      </c>
    </row>
    <row r="245" spans="1:7">
      <c r="A245" t="s">
        <v>254</v>
      </c>
      <c r="B245" s="6">
        <v>45950</v>
      </c>
      <c r="C245" t="s">
        <v>11</v>
      </c>
      <c r="D245">
        <v>12</v>
      </c>
      <c r="E245" t="s">
        <v>14</v>
      </c>
      <c r="F245" s="2">
        <v>93</v>
      </c>
      <c r="G245" t="s">
        <v>10</v>
      </c>
    </row>
    <row r="246" spans="1:7">
      <c r="A246" t="s">
        <v>255</v>
      </c>
      <c r="B246" s="6"/>
      <c r="C246" t="s">
        <v>11</v>
      </c>
      <c r="D246">
        <v>6</v>
      </c>
      <c r="E246" t="s">
        <v>306</v>
      </c>
      <c r="F246" s="2">
        <v>65.099999999999994</v>
      </c>
      <c r="G246" t="s">
        <v>25</v>
      </c>
    </row>
    <row r="247" spans="1:7">
      <c r="A247" t="s">
        <v>256</v>
      </c>
      <c r="B247" s="6">
        <v>46218</v>
      </c>
      <c r="C247" t="s">
        <v>8</v>
      </c>
      <c r="D247">
        <v>8</v>
      </c>
      <c r="E247" t="s">
        <v>12</v>
      </c>
      <c r="F247" s="2">
        <v>84.1</v>
      </c>
      <c r="G247" t="s">
        <v>10</v>
      </c>
    </row>
    <row r="248" spans="1:7">
      <c r="B248" s="6">
        <v>45745</v>
      </c>
      <c r="C248" t="s">
        <v>24</v>
      </c>
      <c r="D248">
        <v>11</v>
      </c>
      <c r="E248" t="s">
        <v>14</v>
      </c>
      <c r="F248" s="2">
        <v>83.2</v>
      </c>
      <c r="G248" t="s">
        <v>10</v>
      </c>
    </row>
    <row r="249" spans="1:7">
      <c r="A249" t="s">
        <v>257</v>
      </c>
      <c r="B249" s="6">
        <v>45829</v>
      </c>
      <c r="C249" t="s">
        <v>11</v>
      </c>
      <c r="D249">
        <v>15</v>
      </c>
      <c r="E249" t="s">
        <v>14</v>
      </c>
      <c r="F249" s="2">
        <v>91.3</v>
      </c>
      <c r="G249" t="s">
        <v>10</v>
      </c>
    </row>
    <row r="250" spans="1:7">
      <c r="A250" t="s">
        <v>258</v>
      </c>
      <c r="B250" s="6">
        <v>46081</v>
      </c>
      <c r="C250" t="s">
        <v>11</v>
      </c>
      <c r="D250">
        <v>0</v>
      </c>
      <c r="E250" t="s">
        <v>14</v>
      </c>
      <c r="F250" s="2">
        <v>78.099999999999994</v>
      </c>
      <c r="G250" t="s">
        <v>25</v>
      </c>
    </row>
    <row r="251" spans="1:7">
      <c r="A251" t="s">
        <v>259</v>
      </c>
      <c r="B251" s="6">
        <v>45892</v>
      </c>
      <c r="C251" t="s">
        <v>21</v>
      </c>
      <c r="D251">
        <v>13</v>
      </c>
      <c r="E251" t="s">
        <v>14</v>
      </c>
      <c r="F251" s="2">
        <v>41.7</v>
      </c>
      <c r="G251" t="s">
        <v>25</v>
      </c>
    </row>
    <row r="252" spans="1:7">
      <c r="A252" t="s">
        <v>260</v>
      </c>
      <c r="B252" s="6">
        <v>45947</v>
      </c>
      <c r="C252" t="s">
        <v>16</v>
      </c>
      <c r="D252">
        <v>3</v>
      </c>
      <c r="E252" t="s">
        <v>12</v>
      </c>
      <c r="F252" s="2">
        <v>100</v>
      </c>
      <c r="G252" t="s">
        <v>10</v>
      </c>
    </row>
    <row r="253" spans="1:7">
      <c r="A253" t="s">
        <v>261</v>
      </c>
      <c r="B253" s="6">
        <v>45679</v>
      </c>
      <c r="C253" t="s">
        <v>11</v>
      </c>
      <c r="D253">
        <v>1</v>
      </c>
      <c r="E253" t="s">
        <v>14</v>
      </c>
      <c r="F253" s="2">
        <v>79.900000000000006</v>
      </c>
      <c r="G253" t="s">
        <v>17</v>
      </c>
    </row>
    <row r="254" spans="1:7">
      <c r="A254" t="s">
        <v>262</v>
      </c>
      <c r="B254" s="6">
        <v>46176</v>
      </c>
      <c r="C254" t="s">
        <v>19</v>
      </c>
      <c r="E254" t="s">
        <v>14</v>
      </c>
      <c r="F254" s="2">
        <v>77.3</v>
      </c>
      <c r="G254" t="s">
        <v>27</v>
      </c>
    </row>
    <row r="255" spans="1:7">
      <c r="A255" t="s">
        <v>263</v>
      </c>
      <c r="B255" s="6">
        <v>46231</v>
      </c>
      <c r="C255" t="s">
        <v>11</v>
      </c>
      <c r="D255">
        <v>9</v>
      </c>
      <c r="E255" t="s">
        <v>14</v>
      </c>
      <c r="F255" s="2">
        <v>85.3</v>
      </c>
      <c r="G255" t="s">
        <v>10</v>
      </c>
    </row>
    <row r="256" spans="1:7">
      <c r="A256" t="s">
        <v>264</v>
      </c>
      <c r="B256" s="6">
        <v>45841</v>
      </c>
      <c r="C256" t="s">
        <v>8</v>
      </c>
      <c r="D256">
        <v>12</v>
      </c>
      <c r="E256" t="s">
        <v>12</v>
      </c>
      <c r="F256" s="2">
        <v>91.8</v>
      </c>
      <c r="G256" t="s">
        <v>10</v>
      </c>
    </row>
    <row r="257" spans="1:7">
      <c r="A257" t="s">
        <v>265</v>
      </c>
      <c r="B257" s="6">
        <v>45966</v>
      </c>
      <c r="C257" t="s">
        <v>24</v>
      </c>
      <c r="D257">
        <v>3</v>
      </c>
      <c r="E257" t="s">
        <v>14</v>
      </c>
      <c r="F257" s="2">
        <v>67.099999999999994</v>
      </c>
      <c r="G257" t="s">
        <v>25</v>
      </c>
    </row>
    <row r="258" spans="1:7">
      <c r="A258" t="s">
        <v>266</v>
      </c>
      <c r="B258" s="6">
        <v>45773</v>
      </c>
      <c r="C258" t="s">
        <v>8</v>
      </c>
      <c r="D258">
        <v>3</v>
      </c>
      <c r="E258" t="s">
        <v>14</v>
      </c>
      <c r="F258" s="2">
        <v>60.4</v>
      </c>
    </row>
    <row r="259" spans="1:7">
      <c r="A259" t="s">
        <v>267</v>
      </c>
      <c r="B259" s="6">
        <v>45899</v>
      </c>
      <c r="C259" t="s">
        <v>19</v>
      </c>
      <c r="D259">
        <v>9</v>
      </c>
      <c r="E259" t="s">
        <v>9</v>
      </c>
      <c r="F259" s="2">
        <v>56.9</v>
      </c>
      <c r="G259" t="s">
        <v>25</v>
      </c>
    </row>
    <row r="260" spans="1:7">
      <c r="A260" t="s">
        <v>212</v>
      </c>
      <c r="B260" s="6">
        <v>46107</v>
      </c>
      <c r="C260" t="s">
        <v>19</v>
      </c>
      <c r="D260">
        <v>0</v>
      </c>
      <c r="E260" t="s">
        <v>12</v>
      </c>
      <c r="F260" s="2">
        <v>49.6</v>
      </c>
      <c r="G260" t="s">
        <v>27</v>
      </c>
    </row>
    <row r="261" spans="1:7">
      <c r="A261" t="s">
        <v>268</v>
      </c>
      <c r="B261" s="6">
        <v>45811</v>
      </c>
      <c r="C261" t="s">
        <v>16</v>
      </c>
      <c r="D261">
        <v>0</v>
      </c>
      <c r="E261" t="s">
        <v>12</v>
      </c>
      <c r="F261" s="2">
        <v>88</v>
      </c>
      <c r="G261" t="s">
        <v>25</v>
      </c>
    </row>
    <row r="262" spans="1:7">
      <c r="A262" t="s">
        <v>269</v>
      </c>
      <c r="B262" s="6"/>
      <c r="C262" t="s">
        <v>19</v>
      </c>
      <c r="D262">
        <v>9</v>
      </c>
      <c r="E262" t="s">
        <v>14</v>
      </c>
      <c r="F262" s="2">
        <v>56.4</v>
      </c>
      <c r="G262" t="s">
        <v>27</v>
      </c>
    </row>
    <row r="263" spans="1:7">
      <c r="A263" t="s">
        <v>270</v>
      </c>
      <c r="B263" s="6">
        <v>45677</v>
      </c>
      <c r="C263" t="s">
        <v>11</v>
      </c>
      <c r="D263">
        <v>7</v>
      </c>
      <c r="E263" t="s">
        <v>14</v>
      </c>
      <c r="F263" s="2">
        <v>61.6</v>
      </c>
      <c r="G263" t="s">
        <v>27</v>
      </c>
    </row>
    <row r="264" spans="1:7">
      <c r="A264" t="s">
        <v>271</v>
      </c>
      <c r="B264" s="6">
        <v>45985</v>
      </c>
      <c r="D264">
        <v>4</v>
      </c>
      <c r="E264" t="s">
        <v>14</v>
      </c>
      <c r="F264" s="2">
        <v>85.3</v>
      </c>
      <c r="G264" t="s">
        <v>10</v>
      </c>
    </row>
    <row r="265" spans="1:7">
      <c r="A265" t="s">
        <v>272</v>
      </c>
      <c r="B265" s="6">
        <v>46200</v>
      </c>
      <c r="C265" t="s">
        <v>8</v>
      </c>
      <c r="D265">
        <v>5</v>
      </c>
      <c r="E265" t="s">
        <v>12</v>
      </c>
      <c r="F265" s="2">
        <v>46.6</v>
      </c>
      <c r="G265" t="s">
        <v>17</v>
      </c>
    </row>
    <row r="266" spans="1:7">
      <c r="A266" t="s">
        <v>273</v>
      </c>
      <c r="B266" s="6">
        <v>45795</v>
      </c>
      <c r="C266" t="s">
        <v>11</v>
      </c>
      <c r="D266">
        <v>0</v>
      </c>
      <c r="E266" t="s">
        <v>12</v>
      </c>
      <c r="F266" s="2">
        <v>55.6</v>
      </c>
      <c r="G266" t="s">
        <v>17</v>
      </c>
    </row>
    <row r="267" spans="1:7">
      <c r="A267" t="s">
        <v>274</v>
      </c>
      <c r="B267" s="6">
        <v>45719</v>
      </c>
      <c r="C267" t="s">
        <v>21</v>
      </c>
      <c r="D267">
        <v>11</v>
      </c>
      <c r="E267" t="s">
        <v>14</v>
      </c>
      <c r="F267" s="2"/>
      <c r="G267" t="s">
        <v>25</v>
      </c>
    </row>
    <row r="268" spans="1:7">
      <c r="A268" t="s">
        <v>275</v>
      </c>
      <c r="B268" s="6">
        <v>45890</v>
      </c>
      <c r="C268" t="s">
        <v>11</v>
      </c>
      <c r="D268">
        <v>3</v>
      </c>
      <c r="E268" t="s">
        <v>12</v>
      </c>
      <c r="F268" s="2">
        <v>58.8</v>
      </c>
      <c r="G268" t="s">
        <v>17</v>
      </c>
    </row>
    <row r="269" spans="1:7">
      <c r="B269" s="6">
        <v>45777</v>
      </c>
      <c r="C269" t="s">
        <v>11</v>
      </c>
      <c r="D269">
        <v>0</v>
      </c>
      <c r="E269" t="s">
        <v>14</v>
      </c>
      <c r="F269" s="2">
        <v>54.9</v>
      </c>
      <c r="G269" t="s">
        <v>27</v>
      </c>
    </row>
    <row r="270" spans="1:7">
      <c r="B270" s="6">
        <v>45940</v>
      </c>
      <c r="C270" t="s">
        <v>21</v>
      </c>
      <c r="D270">
        <v>1</v>
      </c>
      <c r="E270" t="s">
        <v>14</v>
      </c>
      <c r="F270" s="2">
        <v>59.1</v>
      </c>
      <c r="G270" t="s">
        <v>17</v>
      </c>
    </row>
    <row r="271" spans="1:7">
      <c r="A271" t="s">
        <v>276</v>
      </c>
      <c r="B271" s="6">
        <v>46187</v>
      </c>
      <c r="C271" t="s">
        <v>21</v>
      </c>
      <c r="D271">
        <v>6</v>
      </c>
      <c r="E271" t="s">
        <v>14</v>
      </c>
      <c r="F271" s="2">
        <v>72.7</v>
      </c>
    </row>
    <row r="272" spans="1:7">
      <c r="A272" t="s">
        <v>277</v>
      </c>
      <c r="B272" s="6">
        <v>45660</v>
      </c>
      <c r="C272" t="s">
        <v>19</v>
      </c>
      <c r="D272">
        <v>13</v>
      </c>
      <c r="E272" t="s">
        <v>306</v>
      </c>
      <c r="F272" s="2">
        <v>37.6</v>
      </c>
    </row>
    <row r="273" spans="1:7">
      <c r="A273" t="s">
        <v>75</v>
      </c>
      <c r="B273" s="6">
        <v>46225</v>
      </c>
      <c r="C273" t="s">
        <v>21</v>
      </c>
      <c r="D273">
        <v>9</v>
      </c>
      <c r="E273" t="s">
        <v>14</v>
      </c>
      <c r="F273" s="2">
        <v>71.8</v>
      </c>
      <c r="G273" t="s">
        <v>27</v>
      </c>
    </row>
    <row r="274" spans="1:7">
      <c r="A274" t="s">
        <v>278</v>
      </c>
      <c r="B274" s="6">
        <v>46143</v>
      </c>
      <c r="C274" t="s">
        <v>19</v>
      </c>
      <c r="D274">
        <v>2</v>
      </c>
      <c r="E274" t="s">
        <v>12</v>
      </c>
      <c r="F274" s="2">
        <v>53</v>
      </c>
      <c r="G274" t="s">
        <v>25</v>
      </c>
    </row>
    <row r="275" spans="1:7">
      <c r="A275" t="s">
        <v>279</v>
      </c>
      <c r="B275" s="6">
        <v>45685</v>
      </c>
      <c r="C275" t="s">
        <v>8</v>
      </c>
      <c r="D275">
        <v>7</v>
      </c>
      <c r="E275" t="s">
        <v>12</v>
      </c>
      <c r="F275" s="2">
        <v>52.8</v>
      </c>
      <c r="G275" t="s">
        <v>17</v>
      </c>
    </row>
    <row r="276" spans="1:7">
      <c r="A276" t="s">
        <v>280</v>
      </c>
      <c r="B276" s="6">
        <v>45773</v>
      </c>
      <c r="C276" t="s">
        <v>24</v>
      </c>
      <c r="D276">
        <v>3</v>
      </c>
      <c r="E276" t="s">
        <v>12</v>
      </c>
      <c r="F276" s="2">
        <v>59.2</v>
      </c>
      <c r="G276" t="s">
        <v>17</v>
      </c>
    </row>
    <row r="277" spans="1:7">
      <c r="A277" t="s">
        <v>281</v>
      </c>
      <c r="B277" s="6">
        <v>45697</v>
      </c>
      <c r="C277" t="s">
        <v>16</v>
      </c>
      <c r="D277">
        <v>15</v>
      </c>
      <c r="E277" t="s">
        <v>12</v>
      </c>
      <c r="F277" s="2">
        <v>59.3</v>
      </c>
      <c r="G277" t="s">
        <v>27</v>
      </c>
    </row>
    <row r="278" spans="1:7">
      <c r="A278" t="s">
        <v>282</v>
      </c>
      <c r="B278" s="6">
        <v>46231</v>
      </c>
      <c r="C278" t="s">
        <v>19</v>
      </c>
      <c r="D278">
        <v>13</v>
      </c>
      <c r="E278" t="s">
        <v>9</v>
      </c>
      <c r="F278" s="2">
        <v>79.2</v>
      </c>
      <c r="G278" t="s">
        <v>17</v>
      </c>
    </row>
    <row r="279" spans="1:7">
      <c r="A279" t="s">
        <v>283</v>
      </c>
      <c r="B279" s="6">
        <v>45864</v>
      </c>
      <c r="C279" t="s">
        <v>24</v>
      </c>
      <c r="D279">
        <v>6</v>
      </c>
      <c r="F279" s="2">
        <v>58.1</v>
      </c>
      <c r="G279" t="s">
        <v>25</v>
      </c>
    </row>
    <row r="280" spans="1:7">
      <c r="A280" t="s">
        <v>284</v>
      </c>
      <c r="B280" s="6">
        <v>45876</v>
      </c>
      <c r="C280" t="s">
        <v>21</v>
      </c>
      <c r="D280">
        <v>10</v>
      </c>
      <c r="E280" t="s">
        <v>14</v>
      </c>
      <c r="F280" s="2">
        <v>64.8</v>
      </c>
      <c r="G280" t="s">
        <v>25</v>
      </c>
    </row>
    <row r="281" spans="1:7">
      <c r="A281" t="s">
        <v>285</v>
      </c>
      <c r="B281" s="6">
        <v>45682</v>
      </c>
      <c r="C281" t="s">
        <v>11</v>
      </c>
      <c r="D281">
        <v>15</v>
      </c>
      <c r="E281" t="s">
        <v>44</v>
      </c>
      <c r="F281" s="2">
        <v>88.7</v>
      </c>
      <c r="G281" t="s">
        <v>10</v>
      </c>
    </row>
    <row r="282" spans="1:7">
      <c r="A282" t="s">
        <v>286</v>
      </c>
      <c r="B282" s="6">
        <v>45709</v>
      </c>
      <c r="C282" t="s">
        <v>11</v>
      </c>
      <c r="D282">
        <v>14</v>
      </c>
      <c r="E282" t="s">
        <v>14</v>
      </c>
      <c r="F282" s="2">
        <v>100</v>
      </c>
      <c r="G282" t="s">
        <v>10</v>
      </c>
    </row>
    <row r="283" spans="1:7">
      <c r="B283" s="6">
        <v>45684</v>
      </c>
      <c r="C283" t="s">
        <v>16</v>
      </c>
      <c r="D283">
        <v>0</v>
      </c>
      <c r="E283" t="s">
        <v>14</v>
      </c>
      <c r="F283" s="2">
        <v>62.9</v>
      </c>
      <c r="G283" t="s">
        <v>17</v>
      </c>
    </row>
    <row r="284" spans="1:7">
      <c r="A284" t="s">
        <v>148</v>
      </c>
      <c r="B284" s="6">
        <v>46178</v>
      </c>
      <c r="C284" t="s">
        <v>11</v>
      </c>
      <c r="D284">
        <v>2</v>
      </c>
      <c r="E284" t="s">
        <v>12</v>
      </c>
      <c r="F284" s="2">
        <v>86.4</v>
      </c>
      <c r="G284" t="s">
        <v>10</v>
      </c>
    </row>
    <row r="285" spans="1:7">
      <c r="B285" s="6">
        <v>45852</v>
      </c>
      <c r="C285" t="s">
        <v>8</v>
      </c>
      <c r="D285" t="s">
        <v>106</v>
      </c>
      <c r="E285" t="s">
        <v>14</v>
      </c>
      <c r="F285" s="2">
        <v>75.7</v>
      </c>
      <c r="G285" t="s">
        <v>17</v>
      </c>
    </row>
    <row r="286" spans="1:7">
      <c r="A286" t="s">
        <v>287</v>
      </c>
      <c r="B286" s="6">
        <v>46138</v>
      </c>
      <c r="C286" t="s">
        <v>11</v>
      </c>
      <c r="D286">
        <v>9</v>
      </c>
      <c r="E286" t="s">
        <v>14</v>
      </c>
      <c r="F286" s="2">
        <v>52.4</v>
      </c>
      <c r="G286" t="s">
        <v>17</v>
      </c>
    </row>
    <row r="287" spans="1:7">
      <c r="A287" t="s">
        <v>288</v>
      </c>
      <c r="B287" s="6">
        <v>46093</v>
      </c>
      <c r="C287" t="s">
        <v>11</v>
      </c>
      <c r="D287">
        <v>9</v>
      </c>
      <c r="E287" t="s">
        <v>9</v>
      </c>
      <c r="F287" s="2">
        <v>67.3</v>
      </c>
      <c r="G287" t="s">
        <v>27</v>
      </c>
    </row>
    <row r="288" spans="1:7">
      <c r="A288" t="s">
        <v>289</v>
      </c>
      <c r="B288" s="6">
        <v>45704</v>
      </c>
      <c r="C288" t="s">
        <v>19</v>
      </c>
      <c r="D288">
        <v>15</v>
      </c>
      <c r="E288" t="s">
        <v>14</v>
      </c>
      <c r="F288" s="2">
        <v>46.6</v>
      </c>
      <c r="G288" t="s">
        <v>17</v>
      </c>
    </row>
    <row r="289" spans="1:7">
      <c r="A289" t="s">
        <v>290</v>
      </c>
      <c r="B289" s="6">
        <v>46093</v>
      </c>
      <c r="C289" t="s">
        <v>8</v>
      </c>
      <c r="D289">
        <v>12</v>
      </c>
      <c r="E289" t="s">
        <v>14</v>
      </c>
      <c r="F289" s="2"/>
      <c r="G289" t="s">
        <v>27</v>
      </c>
    </row>
    <row r="290" spans="1:7">
      <c r="A290" t="s">
        <v>291</v>
      </c>
      <c r="B290" s="6">
        <v>45795</v>
      </c>
      <c r="C290" t="s">
        <v>8</v>
      </c>
      <c r="D290">
        <v>15</v>
      </c>
      <c r="E290" t="s">
        <v>12</v>
      </c>
      <c r="F290" s="2">
        <v>80.3</v>
      </c>
      <c r="G290" t="s">
        <v>10</v>
      </c>
    </row>
    <row r="291" spans="1:7">
      <c r="A291" t="s">
        <v>142</v>
      </c>
      <c r="B291" s="6">
        <v>46062</v>
      </c>
      <c r="C291" t="s">
        <v>19</v>
      </c>
      <c r="D291">
        <v>12</v>
      </c>
      <c r="E291" t="s">
        <v>14</v>
      </c>
      <c r="F291" s="2">
        <v>54.4</v>
      </c>
      <c r="G291" t="s">
        <v>17</v>
      </c>
    </row>
    <row r="292" spans="1:7">
      <c r="A292" t="s">
        <v>292</v>
      </c>
      <c r="B292" s="6">
        <v>45887</v>
      </c>
      <c r="C292" t="s">
        <v>24</v>
      </c>
      <c r="D292">
        <v>13</v>
      </c>
      <c r="E292" t="s">
        <v>14</v>
      </c>
      <c r="F292" s="2"/>
      <c r="G292" t="s">
        <v>25</v>
      </c>
    </row>
    <row r="293" spans="1:7">
      <c r="A293" t="s">
        <v>293</v>
      </c>
      <c r="B293" s="6">
        <v>45737</v>
      </c>
      <c r="C293" t="s">
        <v>21</v>
      </c>
      <c r="D293">
        <v>6</v>
      </c>
      <c r="F293" s="2">
        <v>78.3</v>
      </c>
      <c r="G293" t="s">
        <v>17</v>
      </c>
    </row>
    <row r="294" spans="1:7">
      <c r="A294" t="s">
        <v>294</v>
      </c>
      <c r="B294" s="6">
        <v>45986</v>
      </c>
      <c r="C294" t="s">
        <v>24</v>
      </c>
      <c r="D294">
        <v>13</v>
      </c>
      <c r="E294" t="s">
        <v>9</v>
      </c>
      <c r="F294" s="2">
        <v>90.4</v>
      </c>
      <c r="G294" t="s">
        <v>10</v>
      </c>
    </row>
    <row r="295" spans="1:7">
      <c r="A295" t="s">
        <v>295</v>
      </c>
      <c r="B295" s="6">
        <v>45948</v>
      </c>
      <c r="C295" t="s">
        <v>16</v>
      </c>
      <c r="E295" t="s">
        <v>14</v>
      </c>
      <c r="F295" s="2">
        <v>82.4</v>
      </c>
      <c r="G295" t="s">
        <v>10</v>
      </c>
    </row>
    <row r="296" spans="1:7">
      <c r="B296" s="6">
        <v>46054</v>
      </c>
      <c r="C296" t="s">
        <v>21</v>
      </c>
      <c r="D296">
        <v>1</v>
      </c>
      <c r="E296" t="s">
        <v>14</v>
      </c>
      <c r="F296" s="2">
        <v>59.4</v>
      </c>
      <c r="G296" t="s">
        <v>25</v>
      </c>
    </row>
    <row r="297" spans="1:7">
      <c r="A297" t="s">
        <v>296</v>
      </c>
      <c r="B297" s="6">
        <v>46000</v>
      </c>
      <c r="C297" t="s">
        <v>11</v>
      </c>
      <c r="D297">
        <v>11</v>
      </c>
      <c r="E297" t="s">
        <v>44</v>
      </c>
      <c r="F297" s="2">
        <v>70.3</v>
      </c>
      <c r="G297" t="s">
        <v>25</v>
      </c>
    </row>
    <row r="298" spans="1:7">
      <c r="A298" t="s">
        <v>297</v>
      </c>
      <c r="B298" s="6">
        <v>46222</v>
      </c>
      <c r="D298">
        <v>9</v>
      </c>
      <c r="E298" t="s">
        <v>9</v>
      </c>
      <c r="F298" s="2">
        <v>97.6</v>
      </c>
      <c r="G298" t="s">
        <v>10</v>
      </c>
    </row>
    <row r="299" spans="1:7">
      <c r="A299" t="s">
        <v>298</v>
      </c>
      <c r="B299" s="6">
        <v>45753</v>
      </c>
      <c r="C299" t="s">
        <v>8</v>
      </c>
      <c r="D299">
        <v>14</v>
      </c>
      <c r="E299" t="s">
        <v>14</v>
      </c>
      <c r="F299" s="2">
        <v>77.599999999999994</v>
      </c>
      <c r="G299" t="s">
        <v>27</v>
      </c>
    </row>
    <row r="300" spans="1:7">
      <c r="A300" t="s">
        <v>299</v>
      </c>
      <c r="B300" s="6"/>
      <c r="C300" t="s">
        <v>21</v>
      </c>
      <c r="D300">
        <v>10</v>
      </c>
      <c r="E300" t="s">
        <v>9</v>
      </c>
      <c r="F300" s="2">
        <v>119</v>
      </c>
      <c r="G300" t="s">
        <v>27</v>
      </c>
    </row>
    <row r="301" spans="1:7">
      <c r="A301" t="s">
        <v>300</v>
      </c>
      <c r="B301" s="6"/>
      <c r="C301" t="s">
        <v>21</v>
      </c>
      <c r="D301">
        <v>10</v>
      </c>
      <c r="E301" t="s">
        <v>14</v>
      </c>
      <c r="F301" s="2">
        <v>64</v>
      </c>
      <c r="G3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7C1B1-DBC9-4008-A9F6-0DC6DCB2BC41}">
  <sheetPr>
    <tabColor theme="8"/>
  </sheetPr>
  <dimension ref="A1:O296"/>
  <sheetViews>
    <sheetView tabSelected="1" topLeftCell="A16" zoomScale="109" workbookViewId="0">
      <selection activeCell="D1" activeCellId="1" sqref="P9 D1"/>
    </sheetView>
  </sheetViews>
  <sheetFormatPr defaultColWidth="17.08984375" defaultRowHeight="14.5"/>
  <cols>
    <col min="2" max="2" width="17.08984375" style="4"/>
    <col min="8" max="8" width="17.08984375" style="7"/>
    <col min="15" max="15" width="18.7265625" customWidth="1"/>
  </cols>
  <sheetData>
    <row r="1" spans="1:15" s="7" customFormat="1">
      <c r="A1" s="1" t="s">
        <v>0</v>
      </c>
      <c r="B1" s="3" t="s">
        <v>1</v>
      </c>
      <c r="C1" s="1" t="s">
        <v>2</v>
      </c>
      <c r="D1" s="1" t="s">
        <v>3</v>
      </c>
      <c r="E1" s="1" t="s">
        <v>4</v>
      </c>
      <c r="F1" s="1" t="s">
        <v>5</v>
      </c>
      <c r="G1" s="1" t="s">
        <v>6</v>
      </c>
      <c r="H1" s="1" t="s">
        <v>342</v>
      </c>
      <c r="I1" s="1" t="s">
        <v>343</v>
      </c>
      <c r="J1" s="1" t="s">
        <v>344</v>
      </c>
      <c r="K1" s="1" t="s">
        <v>345</v>
      </c>
    </row>
    <row r="2" spans="1:15">
      <c r="A2" t="s">
        <v>95</v>
      </c>
      <c r="B2" s="4">
        <v>46234</v>
      </c>
      <c r="C2" t="s">
        <v>24</v>
      </c>
      <c r="D2">
        <v>9</v>
      </c>
      <c r="E2" t="s">
        <v>14</v>
      </c>
      <c r="F2" s="2">
        <v>89.3</v>
      </c>
      <c r="G2" t="s">
        <v>10</v>
      </c>
      <c r="H2" s="7" t="str">
        <f t="shared" ref="H2:H65" si="0">IF(F2&gt;=70,"Pass","Fail")</f>
        <v>Pass</v>
      </c>
      <c r="I2" s="7">
        <f t="shared" ref="I2:I65" si="1">YEAR(B2)</f>
        <v>2026</v>
      </c>
      <c r="J2" s="7">
        <f t="shared" ref="J2:J65" si="2">MONTH(B2)</f>
        <v>7</v>
      </c>
      <c r="K2" s="7">
        <f t="shared" ref="K2:K65" si="3">DAY(B2)</f>
        <v>31</v>
      </c>
    </row>
    <row r="3" spans="1:15">
      <c r="A3" t="s">
        <v>263</v>
      </c>
      <c r="B3" s="4">
        <v>46231</v>
      </c>
      <c r="C3" t="s">
        <v>11</v>
      </c>
      <c r="D3">
        <v>9</v>
      </c>
      <c r="E3" t="s">
        <v>14</v>
      </c>
      <c r="F3" s="2">
        <v>85.3</v>
      </c>
      <c r="G3" t="s">
        <v>10</v>
      </c>
      <c r="H3" s="7" t="str">
        <f t="shared" si="0"/>
        <v>Pass</v>
      </c>
      <c r="I3" s="7">
        <f t="shared" si="1"/>
        <v>2026</v>
      </c>
      <c r="J3" s="7">
        <f t="shared" si="2"/>
        <v>7</v>
      </c>
      <c r="K3" s="7">
        <f t="shared" si="3"/>
        <v>28</v>
      </c>
    </row>
    <row r="4" spans="1:15" ht="16">
      <c r="A4" t="s">
        <v>282</v>
      </c>
      <c r="B4" s="4">
        <v>46231</v>
      </c>
      <c r="C4" t="s">
        <v>19</v>
      </c>
      <c r="D4">
        <v>13</v>
      </c>
      <c r="E4" t="s">
        <v>9</v>
      </c>
      <c r="F4" s="2">
        <v>79.2</v>
      </c>
      <c r="G4" t="s">
        <v>17</v>
      </c>
      <c r="H4" s="7" t="str">
        <f t="shared" si="0"/>
        <v>Pass</v>
      </c>
      <c r="I4" s="7">
        <f t="shared" si="1"/>
        <v>2026</v>
      </c>
      <c r="J4" s="7">
        <f t="shared" si="2"/>
        <v>7</v>
      </c>
      <c r="K4" s="7">
        <f t="shared" si="3"/>
        <v>28</v>
      </c>
      <c r="N4" s="19" t="s">
        <v>371</v>
      </c>
      <c r="O4" s="19"/>
    </row>
    <row r="5" spans="1:15">
      <c r="A5" t="s">
        <v>169</v>
      </c>
      <c r="B5" s="4">
        <v>46228</v>
      </c>
      <c r="C5" t="s">
        <v>11</v>
      </c>
      <c r="D5">
        <v>4</v>
      </c>
      <c r="E5" t="s">
        <v>14</v>
      </c>
      <c r="F5" s="2">
        <v>74</v>
      </c>
      <c r="G5" t="s">
        <v>27</v>
      </c>
      <c r="H5" s="7" t="str">
        <f t="shared" si="0"/>
        <v>Pass</v>
      </c>
      <c r="I5" s="7">
        <f t="shared" si="1"/>
        <v>2026</v>
      </c>
      <c r="J5" s="7">
        <f t="shared" si="2"/>
        <v>7</v>
      </c>
      <c r="K5" s="7">
        <f t="shared" si="3"/>
        <v>25</v>
      </c>
      <c r="N5" s="18" t="s">
        <v>370</v>
      </c>
      <c r="O5" t="s">
        <v>358</v>
      </c>
    </row>
    <row r="6" spans="1:15">
      <c r="A6" t="s">
        <v>187</v>
      </c>
      <c r="B6" s="4">
        <v>46226</v>
      </c>
      <c r="C6" t="s">
        <v>8</v>
      </c>
      <c r="D6">
        <v>1</v>
      </c>
      <c r="E6" t="s">
        <v>9</v>
      </c>
      <c r="F6" s="2">
        <v>46.6</v>
      </c>
      <c r="G6" t="s">
        <v>25</v>
      </c>
      <c r="H6" s="7" t="str">
        <f t="shared" si="0"/>
        <v>Fail</v>
      </c>
      <c r="I6" s="7">
        <f t="shared" si="1"/>
        <v>2026</v>
      </c>
      <c r="J6" s="7">
        <f t="shared" si="2"/>
        <v>7</v>
      </c>
      <c r="K6" s="7">
        <f t="shared" si="3"/>
        <v>23</v>
      </c>
      <c r="N6" s="18" t="s">
        <v>2</v>
      </c>
      <c r="O6" t="s">
        <v>373</v>
      </c>
    </row>
    <row r="7" spans="1:15">
      <c r="A7" t="s">
        <v>75</v>
      </c>
      <c r="B7" s="4">
        <v>46225</v>
      </c>
      <c r="C7" t="s">
        <v>21</v>
      </c>
      <c r="D7">
        <v>9</v>
      </c>
      <c r="E7" t="s">
        <v>14</v>
      </c>
      <c r="F7" s="2">
        <v>71.8</v>
      </c>
      <c r="G7" t="s">
        <v>27</v>
      </c>
      <c r="H7" s="7" t="str">
        <f t="shared" si="0"/>
        <v>Pass</v>
      </c>
      <c r="I7" s="7">
        <f t="shared" si="1"/>
        <v>2026</v>
      </c>
      <c r="J7" s="7">
        <f t="shared" si="2"/>
        <v>7</v>
      </c>
      <c r="K7" s="7">
        <f t="shared" si="3"/>
        <v>22</v>
      </c>
      <c r="N7" s="18" t="s">
        <v>359</v>
      </c>
      <c r="O7" t="s">
        <v>361</v>
      </c>
    </row>
    <row r="8" spans="1:15">
      <c r="A8" t="s">
        <v>235</v>
      </c>
      <c r="B8" s="4">
        <v>46225</v>
      </c>
      <c r="C8" t="s">
        <v>21</v>
      </c>
      <c r="D8">
        <v>6</v>
      </c>
      <c r="E8" t="s">
        <v>14</v>
      </c>
      <c r="F8" s="2">
        <v>54.7</v>
      </c>
      <c r="G8" t="s">
        <v>17</v>
      </c>
      <c r="H8" s="7" t="str">
        <f t="shared" si="0"/>
        <v>Fail</v>
      </c>
      <c r="I8" s="7">
        <f t="shared" si="1"/>
        <v>2026</v>
      </c>
      <c r="J8" s="7">
        <f t="shared" si="2"/>
        <v>7</v>
      </c>
      <c r="K8" s="7">
        <f t="shared" si="3"/>
        <v>22</v>
      </c>
      <c r="N8" s="18" t="s">
        <v>362</v>
      </c>
      <c r="O8" t="s">
        <v>363</v>
      </c>
    </row>
    <row r="9" spans="1:15">
      <c r="A9" t="s">
        <v>297</v>
      </c>
      <c r="B9" s="4">
        <v>46222</v>
      </c>
      <c r="C9" t="s">
        <v>36</v>
      </c>
      <c r="D9">
        <v>9</v>
      </c>
      <c r="E9" t="s">
        <v>9</v>
      </c>
      <c r="F9" s="2">
        <v>97.6</v>
      </c>
      <c r="G9" t="s">
        <v>10</v>
      </c>
      <c r="H9" s="7" t="str">
        <f t="shared" si="0"/>
        <v>Pass</v>
      </c>
      <c r="I9" s="7">
        <f t="shared" si="1"/>
        <v>2026</v>
      </c>
      <c r="J9" s="7">
        <f t="shared" si="2"/>
        <v>7</v>
      </c>
      <c r="K9" s="7">
        <f t="shared" si="3"/>
        <v>19</v>
      </c>
      <c r="N9" s="18" t="s">
        <v>364</v>
      </c>
      <c r="O9" t="s">
        <v>365</v>
      </c>
    </row>
    <row r="10" spans="1:15">
      <c r="A10" t="s">
        <v>76</v>
      </c>
      <c r="B10" s="4">
        <v>46222</v>
      </c>
      <c r="C10" t="s">
        <v>21</v>
      </c>
      <c r="D10">
        <v>1</v>
      </c>
      <c r="E10" t="s">
        <v>9</v>
      </c>
      <c r="F10" s="2">
        <v>89.9</v>
      </c>
      <c r="G10" t="s">
        <v>17</v>
      </c>
      <c r="H10" s="7" t="str">
        <f t="shared" si="0"/>
        <v>Pass</v>
      </c>
      <c r="I10" s="7">
        <f t="shared" si="1"/>
        <v>2026</v>
      </c>
      <c r="J10" s="7">
        <f t="shared" si="2"/>
        <v>7</v>
      </c>
      <c r="K10" s="7">
        <f t="shared" si="3"/>
        <v>19</v>
      </c>
      <c r="N10" s="18" t="s">
        <v>366</v>
      </c>
      <c r="O10" t="s">
        <v>367</v>
      </c>
    </row>
    <row r="11" spans="1:15">
      <c r="A11" t="s">
        <v>222</v>
      </c>
      <c r="B11" s="4">
        <v>46218</v>
      </c>
      <c r="C11" t="s">
        <v>8</v>
      </c>
      <c r="D11">
        <v>11</v>
      </c>
      <c r="E11" t="s">
        <v>14</v>
      </c>
      <c r="F11" s="2">
        <v>87.2</v>
      </c>
      <c r="G11" t="s">
        <v>10</v>
      </c>
      <c r="H11" s="7" t="str">
        <f t="shared" si="0"/>
        <v>Pass</v>
      </c>
      <c r="I11" s="7">
        <f t="shared" si="1"/>
        <v>2026</v>
      </c>
      <c r="J11" s="7">
        <f t="shared" si="2"/>
        <v>7</v>
      </c>
      <c r="K11" s="7">
        <f t="shared" si="3"/>
        <v>15</v>
      </c>
      <c r="N11" s="18" t="s">
        <v>368</v>
      </c>
      <c r="O11" t="s">
        <v>369</v>
      </c>
    </row>
    <row r="12" spans="1:15">
      <c r="A12" t="s">
        <v>256</v>
      </c>
      <c r="B12" s="4">
        <v>46218</v>
      </c>
      <c r="C12" t="s">
        <v>8</v>
      </c>
      <c r="D12">
        <v>8</v>
      </c>
      <c r="E12" t="s">
        <v>12</v>
      </c>
      <c r="F12" s="2">
        <v>84.1</v>
      </c>
      <c r="G12" t="s">
        <v>10</v>
      </c>
      <c r="H12" s="7" t="str">
        <f t="shared" si="0"/>
        <v>Pass</v>
      </c>
      <c r="I12" s="7">
        <f t="shared" si="1"/>
        <v>2026</v>
      </c>
      <c r="J12" s="7">
        <f t="shared" si="2"/>
        <v>7</v>
      </c>
      <c r="K12" s="7">
        <f t="shared" si="3"/>
        <v>15</v>
      </c>
      <c r="N12" s="18" t="s">
        <v>372</v>
      </c>
      <c r="O12">
        <v>132</v>
      </c>
    </row>
    <row r="13" spans="1:15">
      <c r="A13" t="s">
        <v>110</v>
      </c>
      <c r="B13" s="4">
        <v>46216</v>
      </c>
      <c r="C13" t="s">
        <v>24</v>
      </c>
      <c r="D13">
        <v>6</v>
      </c>
      <c r="E13" t="s">
        <v>12</v>
      </c>
      <c r="F13" s="2">
        <v>74</v>
      </c>
      <c r="G13" t="s">
        <v>17</v>
      </c>
      <c r="H13" s="7" t="str">
        <f t="shared" si="0"/>
        <v>Pass</v>
      </c>
      <c r="I13" s="7">
        <f t="shared" si="1"/>
        <v>2026</v>
      </c>
      <c r="J13" s="7">
        <f t="shared" si="2"/>
        <v>7</v>
      </c>
      <c r="K13" s="7">
        <f t="shared" si="3"/>
        <v>13</v>
      </c>
    </row>
    <row r="14" spans="1:15">
      <c r="A14" t="s">
        <v>180</v>
      </c>
      <c r="B14" s="4">
        <v>46213</v>
      </c>
      <c r="C14" t="s">
        <v>8</v>
      </c>
      <c r="D14">
        <v>7</v>
      </c>
      <c r="E14" t="s">
        <v>14</v>
      </c>
      <c r="F14" s="2">
        <v>85.8</v>
      </c>
      <c r="G14" t="s">
        <v>10</v>
      </c>
      <c r="H14" s="7" t="str">
        <f t="shared" si="0"/>
        <v>Pass</v>
      </c>
      <c r="I14" s="7">
        <f t="shared" si="1"/>
        <v>2026</v>
      </c>
      <c r="J14" s="7">
        <f t="shared" si="2"/>
        <v>7</v>
      </c>
      <c r="K14" s="7">
        <f t="shared" si="3"/>
        <v>10</v>
      </c>
      <c r="N14" t="s">
        <v>360</v>
      </c>
      <c r="O14" s="2">
        <f>MEDIAN(F47:F339)</f>
        <v>74</v>
      </c>
    </row>
    <row r="15" spans="1:15">
      <c r="A15" t="s">
        <v>314</v>
      </c>
      <c r="B15" s="4">
        <v>46213</v>
      </c>
      <c r="C15" t="s">
        <v>11</v>
      </c>
      <c r="D15">
        <v>6</v>
      </c>
      <c r="E15" t="s">
        <v>14</v>
      </c>
      <c r="F15" s="2">
        <v>77.400000000000006</v>
      </c>
      <c r="G15" t="s">
        <v>17</v>
      </c>
      <c r="H15" s="7" t="str">
        <f t="shared" si="0"/>
        <v>Pass</v>
      </c>
      <c r="I15" s="7">
        <f t="shared" si="1"/>
        <v>2026</v>
      </c>
      <c r="J15" s="7">
        <f t="shared" si="2"/>
        <v>7</v>
      </c>
      <c r="K15" s="7">
        <f t="shared" si="3"/>
        <v>10</v>
      </c>
    </row>
    <row r="16" spans="1:15">
      <c r="A16" t="s">
        <v>45</v>
      </c>
      <c r="B16" s="4">
        <v>46212</v>
      </c>
      <c r="C16" t="s">
        <v>36</v>
      </c>
      <c r="D16">
        <v>7</v>
      </c>
      <c r="E16" t="s">
        <v>14</v>
      </c>
      <c r="F16" s="2">
        <v>61.5</v>
      </c>
      <c r="G16" t="s">
        <v>27</v>
      </c>
      <c r="H16" s="7" t="str">
        <f t="shared" si="0"/>
        <v>Fail</v>
      </c>
      <c r="I16" s="7">
        <f t="shared" si="1"/>
        <v>2026</v>
      </c>
      <c r="J16" s="7">
        <f t="shared" si="2"/>
        <v>7</v>
      </c>
      <c r="K16" s="7">
        <f t="shared" si="3"/>
        <v>9</v>
      </c>
    </row>
    <row r="17" spans="1:11">
      <c r="A17" t="s">
        <v>107</v>
      </c>
      <c r="B17" s="4">
        <v>46208</v>
      </c>
      <c r="C17" t="s">
        <v>8</v>
      </c>
      <c r="D17">
        <v>2</v>
      </c>
      <c r="E17" t="s">
        <v>14</v>
      </c>
      <c r="F17" s="2">
        <v>74</v>
      </c>
      <c r="G17" t="s">
        <v>17</v>
      </c>
      <c r="H17" s="7" t="str">
        <f t="shared" si="0"/>
        <v>Pass</v>
      </c>
      <c r="I17" s="7">
        <f t="shared" si="1"/>
        <v>2026</v>
      </c>
      <c r="J17" s="7">
        <f t="shared" si="2"/>
        <v>7</v>
      </c>
      <c r="K17" s="7">
        <f t="shared" si="3"/>
        <v>5</v>
      </c>
    </row>
    <row r="18" spans="1:11">
      <c r="A18" t="s">
        <v>46</v>
      </c>
      <c r="B18" s="4">
        <v>46207</v>
      </c>
      <c r="C18" t="s">
        <v>19</v>
      </c>
      <c r="D18">
        <v>11</v>
      </c>
      <c r="E18" t="s">
        <v>12</v>
      </c>
      <c r="F18" s="2">
        <v>74</v>
      </c>
      <c r="G18" t="s">
        <v>10</v>
      </c>
      <c r="H18" s="7" t="str">
        <f t="shared" si="0"/>
        <v>Pass</v>
      </c>
      <c r="I18" s="7">
        <f t="shared" si="1"/>
        <v>2026</v>
      </c>
      <c r="J18" s="7">
        <f t="shared" si="2"/>
        <v>7</v>
      </c>
      <c r="K18" s="7">
        <f t="shared" si="3"/>
        <v>4</v>
      </c>
    </row>
    <row r="19" spans="1:11">
      <c r="A19" t="s">
        <v>65</v>
      </c>
      <c r="B19" s="4">
        <v>46205</v>
      </c>
      <c r="C19" t="s">
        <v>24</v>
      </c>
      <c r="D19">
        <v>6</v>
      </c>
      <c r="E19" t="s">
        <v>12</v>
      </c>
      <c r="F19" s="2">
        <v>58.3</v>
      </c>
      <c r="G19" t="s">
        <v>27</v>
      </c>
      <c r="H19" s="7" t="str">
        <f t="shared" si="0"/>
        <v>Fail</v>
      </c>
      <c r="I19" s="7">
        <f t="shared" si="1"/>
        <v>2026</v>
      </c>
      <c r="J19" s="7">
        <f t="shared" si="2"/>
        <v>7</v>
      </c>
      <c r="K19" s="7">
        <f t="shared" si="3"/>
        <v>2</v>
      </c>
    </row>
    <row r="20" spans="1:11">
      <c r="A20" t="s">
        <v>15</v>
      </c>
      <c r="B20" s="4">
        <v>46204</v>
      </c>
      <c r="C20" t="s">
        <v>16</v>
      </c>
      <c r="D20">
        <v>15</v>
      </c>
      <c r="E20" t="s">
        <v>14</v>
      </c>
      <c r="F20" s="2">
        <v>74.7</v>
      </c>
      <c r="G20" t="s">
        <v>17</v>
      </c>
      <c r="H20" s="7" t="str">
        <f t="shared" si="0"/>
        <v>Pass</v>
      </c>
      <c r="I20" s="7">
        <f t="shared" si="1"/>
        <v>2026</v>
      </c>
      <c r="J20" s="7">
        <f t="shared" si="2"/>
        <v>7</v>
      </c>
      <c r="K20" s="7">
        <f t="shared" si="3"/>
        <v>1</v>
      </c>
    </row>
    <row r="21" spans="1:11">
      <c r="A21" t="s">
        <v>315</v>
      </c>
      <c r="B21" s="4">
        <v>46202</v>
      </c>
      <c r="C21" t="s">
        <v>11</v>
      </c>
      <c r="D21">
        <v>13</v>
      </c>
      <c r="E21" t="s">
        <v>9</v>
      </c>
      <c r="F21" s="2">
        <v>69.3</v>
      </c>
      <c r="G21" t="s">
        <v>17</v>
      </c>
      <c r="H21" s="7" t="str">
        <f t="shared" si="0"/>
        <v>Fail</v>
      </c>
      <c r="I21" s="7">
        <f t="shared" si="1"/>
        <v>2026</v>
      </c>
      <c r="J21" s="7">
        <f t="shared" si="2"/>
        <v>6</v>
      </c>
      <c r="K21" s="7">
        <f t="shared" si="3"/>
        <v>29</v>
      </c>
    </row>
    <row r="22" spans="1:11">
      <c r="A22" t="s">
        <v>272</v>
      </c>
      <c r="B22" s="4">
        <v>46200</v>
      </c>
      <c r="C22" t="s">
        <v>8</v>
      </c>
      <c r="D22">
        <v>5</v>
      </c>
      <c r="E22" t="s">
        <v>12</v>
      </c>
      <c r="F22" s="2">
        <v>46.6</v>
      </c>
      <c r="G22" t="s">
        <v>17</v>
      </c>
      <c r="H22" s="7" t="str">
        <f t="shared" si="0"/>
        <v>Fail</v>
      </c>
      <c r="I22" s="7">
        <f t="shared" si="1"/>
        <v>2026</v>
      </c>
      <c r="J22" s="7">
        <f t="shared" si="2"/>
        <v>6</v>
      </c>
      <c r="K22" s="7">
        <f t="shared" si="3"/>
        <v>27</v>
      </c>
    </row>
    <row r="23" spans="1:11">
      <c r="A23" t="s">
        <v>183</v>
      </c>
      <c r="B23" s="4">
        <v>46198</v>
      </c>
      <c r="C23" t="s">
        <v>16</v>
      </c>
      <c r="D23">
        <v>7</v>
      </c>
      <c r="E23" t="s">
        <v>14</v>
      </c>
      <c r="F23" s="2">
        <v>79.3</v>
      </c>
      <c r="G23" t="s">
        <v>17</v>
      </c>
      <c r="H23" s="7" t="str">
        <f t="shared" si="0"/>
        <v>Pass</v>
      </c>
      <c r="I23" s="7">
        <f t="shared" si="1"/>
        <v>2026</v>
      </c>
      <c r="J23" s="7">
        <f t="shared" si="2"/>
        <v>6</v>
      </c>
      <c r="K23" s="7">
        <f t="shared" si="3"/>
        <v>25</v>
      </c>
    </row>
    <row r="24" spans="1:11">
      <c r="A24" t="s">
        <v>223</v>
      </c>
      <c r="B24" s="4">
        <v>46197</v>
      </c>
      <c r="C24" t="s">
        <v>19</v>
      </c>
      <c r="D24">
        <v>8</v>
      </c>
      <c r="E24" t="s">
        <v>36</v>
      </c>
      <c r="F24" s="2">
        <v>91.3</v>
      </c>
      <c r="G24" t="s">
        <v>10</v>
      </c>
      <c r="H24" s="7" t="str">
        <f t="shared" si="0"/>
        <v>Pass</v>
      </c>
      <c r="I24" s="7">
        <f t="shared" si="1"/>
        <v>2026</v>
      </c>
      <c r="J24" s="7">
        <f t="shared" si="2"/>
        <v>6</v>
      </c>
      <c r="K24" s="7">
        <f t="shared" si="3"/>
        <v>24</v>
      </c>
    </row>
    <row r="25" spans="1:11">
      <c r="A25" t="s">
        <v>41</v>
      </c>
      <c r="B25" s="4">
        <v>46197</v>
      </c>
      <c r="C25" t="s">
        <v>24</v>
      </c>
      <c r="D25">
        <v>11</v>
      </c>
      <c r="E25" t="s">
        <v>14</v>
      </c>
      <c r="F25" s="2">
        <v>74.599999999999994</v>
      </c>
      <c r="G25" t="s">
        <v>17</v>
      </c>
      <c r="H25" s="7" t="str">
        <f t="shared" si="0"/>
        <v>Pass</v>
      </c>
      <c r="I25" s="7">
        <f t="shared" si="1"/>
        <v>2026</v>
      </c>
      <c r="J25" s="7">
        <f t="shared" si="2"/>
        <v>6</v>
      </c>
      <c r="K25" s="7">
        <f t="shared" si="3"/>
        <v>24</v>
      </c>
    </row>
    <row r="26" spans="1:11">
      <c r="A26" t="s">
        <v>242</v>
      </c>
      <c r="B26" s="4">
        <v>46197</v>
      </c>
      <c r="C26" t="s">
        <v>24</v>
      </c>
      <c r="D26">
        <v>5</v>
      </c>
      <c r="E26" t="s">
        <v>9</v>
      </c>
      <c r="F26" s="2">
        <v>62.1</v>
      </c>
      <c r="G26" t="s">
        <v>25</v>
      </c>
      <c r="H26" s="7" t="str">
        <f t="shared" si="0"/>
        <v>Fail</v>
      </c>
      <c r="I26" s="7">
        <f t="shared" si="1"/>
        <v>2026</v>
      </c>
      <c r="J26" s="7">
        <f t="shared" si="2"/>
        <v>6</v>
      </c>
      <c r="K26" s="7">
        <f t="shared" si="3"/>
        <v>24</v>
      </c>
    </row>
    <row r="27" spans="1:11">
      <c r="A27" t="s">
        <v>178</v>
      </c>
      <c r="B27" s="4">
        <v>46195</v>
      </c>
      <c r="C27" t="s">
        <v>19</v>
      </c>
      <c r="D27">
        <v>1</v>
      </c>
      <c r="E27" t="s">
        <v>14</v>
      </c>
      <c r="F27" s="2">
        <v>74</v>
      </c>
      <c r="G27" t="s">
        <v>27</v>
      </c>
      <c r="H27" s="7" t="str">
        <f t="shared" si="0"/>
        <v>Pass</v>
      </c>
      <c r="I27" s="7">
        <f t="shared" si="1"/>
        <v>2026</v>
      </c>
      <c r="J27" s="7">
        <f t="shared" si="2"/>
        <v>6</v>
      </c>
      <c r="K27" s="7">
        <f t="shared" si="3"/>
        <v>22</v>
      </c>
    </row>
    <row r="28" spans="1:11">
      <c r="A28" t="s">
        <v>167</v>
      </c>
      <c r="B28" s="4">
        <v>46194</v>
      </c>
      <c r="C28" t="s">
        <v>21</v>
      </c>
      <c r="D28">
        <v>12</v>
      </c>
      <c r="E28" t="s">
        <v>14</v>
      </c>
      <c r="F28" s="2">
        <v>65.3</v>
      </c>
      <c r="G28" t="s">
        <v>27</v>
      </c>
      <c r="H28" s="7" t="str">
        <f t="shared" si="0"/>
        <v>Fail</v>
      </c>
      <c r="I28" s="7">
        <f t="shared" si="1"/>
        <v>2026</v>
      </c>
      <c r="J28" s="7">
        <f t="shared" si="2"/>
        <v>6</v>
      </c>
      <c r="K28" s="7">
        <f t="shared" si="3"/>
        <v>21</v>
      </c>
    </row>
    <row r="29" spans="1:11">
      <c r="A29" t="s">
        <v>85</v>
      </c>
      <c r="B29" s="4">
        <v>46191</v>
      </c>
      <c r="C29" t="s">
        <v>8</v>
      </c>
      <c r="D29">
        <v>15</v>
      </c>
      <c r="E29" t="s">
        <v>14</v>
      </c>
      <c r="F29" s="2">
        <v>88.3</v>
      </c>
      <c r="G29" t="s">
        <v>10</v>
      </c>
      <c r="H29" s="7" t="str">
        <f t="shared" si="0"/>
        <v>Pass</v>
      </c>
      <c r="I29" s="7">
        <f t="shared" si="1"/>
        <v>2026</v>
      </c>
      <c r="J29" s="7">
        <f t="shared" si="2"/>
        <v>6</v>
      </c>
      <c r="K29" s="7">
        <f t="shared" si="3"/>
        <v>18</v>
      </c>
    </row>
    <row r="30" spans="1:11">
      <c r="A30" t="s">
        <v>22</v>
      </c>
      <c r="B30" s="4">
        <v>46191</v>
      </c>
      <c r="C30" t="s">
        <v>8</v>
      </c>
      <c r="D30">
        <v>8</v>
      </c>
      <c r="E30" t="s">
        <v>14</v>
      </c>
      <c r="F30" s="2">
        <v>86</v>
      </c>
      <c r="G30" t="s">
        <v>10</v>
      </c>
      <c r="H30" s="7" t="str">
        <f t="shared" si="0"/>
        <v>Pass</v>
      </c>
      <c r="I30" s="7">
        <f t="shared" si="1"/>
        <v>2026</v>
      </c>
      <c r="J30" s="7">
        <f t="shared" si="2"/>
        <v>6</v>
      </c>
      <c r="K30" s="7">
        <f t="shared" si="3"/>
        <v>18</v>
      </c>
    </row>
    <row r="31" spans="1:11">
      <c r="A31" t="s">
        <v>39</v>
      </c>
      <c r="B31" s="4">
        <v>46190</v>
      </c>
      <c r="C31" t="s">
        <v>11</v>
      </c>
      <c r="D31">
        <v>8</v>
      </c>
      <c r="E31" t="s">
        <v>36</v>
      </c>
      <c r="F31" s="2">
        <v>88.9</v>
      </c>
      <c r="G31" t="s">
        <v>10</v>
      </c>
      <c r="H31" s="7" t="str">
        <f t="shared" si="0"/>
        <v>Pass</v>
      </c>
      <c r="I31" s="7">
        <f t="shared" si="1"/>
        <v>2026</v>
      </c>
      <c r="J31" s="7">
        <f t="shared" si="2"/>
        <v>6</v>
      </c>
      <c r="K31" s="7">
        <f t="shared" si="3"/>
        <v>17</v>
      </c>
    </row>
    <row r="32" spans="1:11">
      <c r="A32" t="s">
        <v>249</v>
      </c>
      <c r="B32" s="4">
        <v>46188</v>
      </c>
      <c r="C32" t="s">
        <v>16</v>
      </c>
      <c r="D32">
        <v>1</v>
      </c>
      <c r="E32" t="s">
        <v>14</v>
      </c>
      <c r="F32" s="2">
        <v>61.5</v>
      </c>
      <c r="G32" t="s">
        <v>25</v>
      </c>
      <c r="H32" s="7" t="str">
        <f t="shared" si="0"/>
        <v>Fail</v>
      </c>
      <c r="I32" s="7">
        <f t="shared" si="1"/>
        <v>2026</v>
      </c>
      <c r="J32" s="7">
        <f t="shared" si="2"/>
        <v>6</v>
      </c>
      <c r="K32" s="7">
        <f t="shared" si="3"/>
        <v>15</v>
      </c>
    </row>
    <row r="33" spans="1:11">
      <c r="A33" t="s">
        <v>276</v>
      </c>
      <c r="B33" s="4">
        <v>46187</v>
      </c>
      <c r="C33" t="s">
        <v>21</v>
      </c>
      <c r="D33">
        <v>6</v>
      </c>
      <c r="E33" t="s">
        <v>14</v>
      </c>
      <c r="F33" s="2">
        <v>72.7</v>
      </c>
      <c r="G33" t="s">
        <v>25</v>
      </c>
      <c r="H33" s="7" t="str">
        <f t="shared" si="0"/>
        <v>Pass</v>
      </c>
      <c r="I33" s="7">
        <f t="shared" si="1"/>
        <v>2026</v>
      </c>
      <c r="J33" s="7">
        <f t="shared" si="2"/>
        <v>6</v>
      </c>
      <c r="K33" s="7">
        <f t="shared" si="3"/>
        <v>14</v>
      </c>
    </row>
    <row r="34" spans="1:11">
      <c r="A34" t="s">
        <v>122</v>
      </c>
      <c r="B34" s="4">
        <v>46185</v>
      </c>
      <c r="C34" t="s">
        <v>19</v>
      </c>
      <c r="D34">
        <v>13</v>
      </c>
      <c r="E34" t="s">
        <v>14</v>
      </c>
      <c r="F34" s="2">
        <v>61.1</v>
      </c>
      <c r="G34" t="s">
        <v>17</v>
      </c>
      <c r="H34" s="7" t="str">
        <f t="shared" si="0"/>
        <v>Fail</v>
      </c>
      <c r="I34" s="7">
        <f t="shared" si="1"/>
        <v>2026</v>
      </c>
      <c r="J34" s="7">
        <f t="shared" si="2"/>
        <v>6</v>
      </c>
      <c r="K34" s="7">
        <f t="shared" si="3"/>
        <v>12</v>
      </c>
    </row>
    <row r="35" spans="1:11">
      <c r="A35" t="s">
        <v>161</v>
      </c>
      <c r="B35" s="4">
        <v>46182</v>
      </c>
      <c r="C35" t="s">
        <v>24</v>
      </c>
      <c r="D35">
        <v>12</v>
      </c>
      <c r="E35" t="s">
        <v>14</v>
      </c>
      <c r="F35" s="2">
        <v>83.8</v>
      </c>
      <c r="G35" t="s">
        <v>25</v>
      </c>
      <c r="H35" s="7" t="str">
        <f t="shared" si="0"/>
        <v>Pass</v>
      </c>
      <c r="I35" s="7">
        <f t="shared" si="1"/>
        <v>2026</v>
      </c>
      <c r="J35" s="7">
        <f t="shared" si="2"/>
        <v>6</v>
      </c>
      <c r="K35" s="7">
        <f t="shared" si="3"/>
        <v>9</v>
      </c>
    </row>
    <row r="36" spans="1:11">
      <c r="A36" t="s">
        <v>194</v>
      </c>
      <c r="B36" s="4">
        <v>46182</v>
      </c>
      <c r="C36" t="s">
        <v>11</v>
      </c>
      <c r="D36">
        <v>14</v>
      </c>
      <c r="E36" t="s">
        <v>12</v>
      </c>
      <c r="F36" s="2">
        <v>79.099999999999994</v>
      </c>
      <c r="G36" t="s">
        <v>27</v>
      </c>
      <c r="H36" s="7" t="str">
        <f t="shared" si="0"/>
        <v>Pass</v>
      </c>
      <c r="I36" s="7">
        <f t="shared" si="1"/>
        <v>2026</v>
      </c>
      <c r="J36" s="7">
        <f t="shared" si="2"/>
        <v>6</v>
      </c>
      <c r="K36" s="7">
        <f t="shared" si="3"/>
        <v>9</v>
      </c>
    </row>
    <row r="37" spans="1:11">
      <c r="A37" t="s">
        <v>40</v>
      </c>
      <c r="B37" s="4">
        <v>46181</v>
      </c>
      <c r="C37" t="s">
        <v>19</v>
      </c>
      <c r="D37">
        <v>7</v>
      </c>
      <c r="E37" t="s">
        <v>14</v>
      </c>
      <c r="F37" s="2">
        <v>97</v>
      </c>
      <c r="G37" t="s">
        <v>10</v>
      </c>
      <c r="H37" s="7" t="str">
        <f t="shared" si="0"/>
        <v>Pass</v>
      </c>
      <c r="I37" s="7">
        <f t="shared" si="1"/>
        <v>2026</v>
      </c>
      <c r="J37" s="7">
        <f t="shared" si="2"/>
        <v>6</v>
      </c>
      <c r="K37" s="7">
        <f t="shared" si="3"/>
        <v>8</v>
      </c>
    </row>
    <row r="38" spans="1:11">
      <c r="A38" t="s">
        <v>185</v>
      </c>
      <c r="B38" s="4">
        <v>46179</v>
      </c>
      <c r="C38" t="s">
        <v>16</v>
      </c>
      <c r="D38">
        <v>2</v>
      </c>
      <c r="E38" t="s">
        <v>14</v>
      </c>
      <c r="F38" s="2">
        <v>44.1</v>
      </c>
      <c r="G38" t="s">
        <v>17</v>
      </c>
      <c r="H38" s="7" t="str">
        <f t="shared" si="0"/>
        <v>Fail</v>
      </c>
      <c r="I38" s="7">
        <f t="shared" si="1"/>
        <v>2026</v>
      </c>
      <c r="J38" s="7">
        <f t="shared" si="2"/>
        <v>6</v>
      </c>
      <c r="K38" s="7">
        <f t="shared" si="3"/>
        <v>6</v>
      </c>
    </row>
    <row r="39" spans="1:11">
      <c r="A39" t="s">
        <v>148</v>
      </c>
      <c r="B39" s="4">
        <v>46178</v>
      </c>
      <c r="C39" t="s">
        <v>11</v>
      </c>
      <c r="D39">
        <v>2</v>
      </c>
      <c r="E39" t="s">
        <v>12</v>
      </c>
      <c r="F39" s="2">
        <v>86.4</v>
      </c>
      <c r="G39" t="s">
        <v>10</v>
      </c>
      <c r="H39" s="7" t="str">
        <f t="shared" si="0"/>
        <v>Pass</v>
      </c>
      <c r="I39" s="7">
        <f t="shared" si="1"/>
        <v>2026</v>
      </c>
      <c r="J39" s="7">
        <f t="shared" si="2"/>
        <v>6</v>
      </c>
      <c r="K39" s="7">
        <f t="shared" si="3"/>
        <v>5</v>
      </c>
    </row>
    <row r="40" spans="1:11">
      <c r="A40" t="s">
        <v>262</v>
      </c>
      <c r="B40" s="4">
        <v>46176</v>
      </c>
      <c r="C40" t="s">
        <v>19</v>
      </c>
      <c r="D40">
        <v>7</v>
      </c>
      <c r="E40" t="s">
        <v>14</v>
      </c>
      <c r="F40" s="2">
        <v>77.3</v>
      </c>
      <c r="G40" t="s">
        <v>27</v>
      </c>
      <c r="H40" s="7" t="str">
        <f t="shared" si="0"/>
        <v>Pass</v>
      </c>
      <c r="I40" s="7">
        <f t="shared" si="1"/>
        <v>2026</v>
      </c>
      <c r="J40" s="7">
        <f t="shared" si="2"/>
        <v>6</v>
      </c>
      <c r="K40" s="7">
        <f t="shared" si="3"/>
        <v>3</v>
      </c>
    </row>
    <row r="41" spans="1:11">
      <c r="A41" t="s">
        <v>108</v>
      </c>
      <c r="B41" s="4">
        <v>46176</v>
      </c>
      <c r="C41" t="s">
        <v>21</v>
      </c>
      <c r="D41">
        <v>15</v>
      </c>
      <c r="E41" t="s">
        <v>14</v>
      </c>
      <c r="F41" s="2">
        <v>63.6</v>
      </c>
      <c r="G41" t="s">
        <v>17</v>
      </c>
      <c r="H41" s="7" t="str">
        <f t="shared" si="0"/>
        <v>Fail</v>
      </c>
      <c r="I41" s="7">
        <f t="shared" si="1"/>
        <v>2026</v>
      </c>
      <c r="J41" s="7">
        <f t="shared" si="2"/>
        <v>6</v>
      </c>
      <c r="K41" s="7">
        <f t="shared" si="3"/>
        <v>3</v>
      </c>
    </row>
    <row r="42" spans="1:11">
      <c r="A42" t="s">
        <v>226</v>
      </c>
      <c r="B42" s="4">
        <v>46174</v>
      </c>
      <c r="C42" t="s">
        <v>11</v>
      </c>
      <c r="D42">
        <v>7</v>
      </c>
      <c r="E42" t="s">
        <v>9</v>
      </c>
      <c r="F42" s="2">
        <v>75.7</v>
      </c>
      <c r="G42" t="s">
        <v>25</v>
      </c>
      <c r="H42" s="7" t="str">
        <f t="shared" si="0"/>
        <v>Pass</v>
      </c>
      <c r="I42" s="7">
        <f t="shared" si="1"/>
        <v>2026</v>
      </c>
      <c r="J42" s="7">
        <f t="shared" si="2"/>
        <v>6</v>
      </c>
      <c r="K42" s="7">
        <f t="shared" si="3"/>
        <v>1</v>
      </c>
    </row>
    <row r="43" spans="1:11">
      <c r="A43" t="s">
        <v>79</v>
      </c>
      <c r="B43" s="4">
        <v>46173</v>
      </c>
      <c r="C43" t="s">
        <v>11</v>
      </c>
      <c r="D43">
        <v>0</v>
      </c>
      <c r="E43" t="s">
        <v>44</v>
      </c>
      <c r="F43" s="2">
        <v>76.5</v>
      </c>
      <c r="G43" t="s">
        <v>17</v>
      </c>
      <c r="H43" s="7" t="str">
        <f t="shared" si="0"/>
        <v>Pass</v>
      </c>
      <c r="I43" s="7">
        <f t="shared" si="1"/>
        <v>2026</v>
      </c>
      <c r="J43" s="7">
        <f t="shared" si="2"/>
        <v>5</v>
      </c>
      <c r="K43" s="7">
        <f t="shared" si="3"/>
        <v>31</v>
      </c>
    </row>
    <row r="44" spans="1:11">
      <c r="A44" t="s">
        <v>175</v>
      </c>
      <c r="B44" s="4">
        <v>46173</v>
      </c>
      <c r="C44" t="s">
        <v>8</v>
      </c>
      <c r="D44">
        <v>1</v>
      </c>
      <c r="E44" t="s">
        <v>12</v>
      </c>
      <c r="F44" s="2">
        <v>64.3</v>
      </c>
      <c r="G44" t="s">
        <v>27</v>
      </c>
      <c r="H44" s="7" t="str">
        <f t="shared" si="0"/>
        <v>Fail</v>
      </c>
      <c r="I44" s="7">
        <f t="shared" si="1"/>
        <v>2026</v>
      </c>
      <c r="J44" s="7">
        <f t="shared" si="2"/>
        <v>5</v>
      </c>
      <c r="K44" s="7">
        <f t="shared" si="3"/>
        <v>31</v>
      </c>
    </row>
    <row r="45" spans="1:11">
      <c r="A45" t="s">
        <v>241</v>
      </c>
      <c r="B45" s="4">
        <v>46165</v>
      </c>
      <c r="C45" t="s">
        <v>21</v>
      </c>
      <c r="D45">
        <v>6</v>
      </c>
      <c r="E45" t="s">
        <v>14</v>
      </c>
      <c r="F45" s="2">
        <v>96.3</v>
      </c>
      <c r="G45" t="s">
        <v>10</v>
      </c>
      <c r="H45" s="7" t="str">
        <f t="shared" si="0"/>
        <v>Pass</v>
      </c>
      <c r="I45" s="7">
        <f t="shared" si="1"/>
        <v>2026</v>
      </c>
      <c r="J45" s="7">
        <f t="shared" si="2"/>
        <v>5</v>
      </c>
      <c r="K45" s="7">
        <f t="shared" si="3"/>
        <v>23</v>
      </c>
    </row>
    <row r="46" spans="1:11">
      <c r="A46" t="s">
        <v>199</v>
      </c>
      <c r="B46" s="4">
        <v>46163</v>
      </c>
      <c r="C46" t="s">
        <v>19</v>
      </c>
      <c r="D46">
        <v>7</v>
      </c>
      <c r="E46" t="s">
        <v>9</v>
      </c>
      <c r="F46" s="2">
        <v>72.5</v>
      </c>
      <c r="G46" t="s">
        <v>17</v>
      </c>
      <c r="H46" s="7" t="str">
        <f t="shared" si="0"/>
        <v>Pass</v>
      </c>
      <c r="I46" s="7">
        <f t="shared" si="1"/>
        <v>2026</v>
      </c>
      <c r="J46" s="7">
        <f t="shared" si="2"/>
        <v>5</v>
      </c>
      <c r="K46" s="7">
        <f t="shared" si="3"/>
        <v>21</v>
      </c>
    </row>
    <row r="47" spans="1:11">
      <c r="A47" t="s">
        <v>157</v>
      </c>
      <c r="B47" s="4">
        <v>46161</v>
      </c>
      <c r="C47" t="s">
        <v>36</v>
      </c>
      <c r="D47">
        <v>9</v>
      </c>
      <c r="E47" t="s">
        <v>36</v>
      </c>
      <c r="F47" s="2">
        <v>62.8</v>
      </c>
      <c r="G47" t="s">
        <v>17</v>
      </c>
      <c r="H47" s="7" t="str">
        <f t="shared" si="0"/>
        <v>Fail</v>
      </c>
      <c r="I47" s="7">
        <f t="shared" si="1"/>
        <v>2026</v>
      </c>
      <c r="J47" s="7">
        <f t="shared" si="2"/>
        <v>5</v>
      </c>
      <c r="K47" s="7">
        <f t="shared" si="3"/>
        <v>19</v>
      </c>
    </row>
    <row r="48" spans="1:11">
      <c r="A48" t="s">
        <v>251</v>
      </c>
      <c r="B48" s="4">
        <v>46159</v>
      </c>
      <c r="C48" t="s">
        <v>24</v>
      </c>
      <c r="D48">
        <v>10</v>
      </c>
      <c r="E48" t="s">
        <v>14</v>
      </c>
      <c r="F48" s="2">
        <v>70.900000000000006</v>
      </c>
      <c r="G48" t="s">
        <v>17</v>
      </c>
      <c r="H48" s="7" t="str">
        <f t="shared" si="0"/>
        <v>Pass</v>
      </c>
      <c r="I48" s="7">
        <f t="shared" si="1"/>
        <v>2026</v>
      </c>
      <c r="J48" s="7">
        <f t="shared" si="2"/>
        <v>5</v>
      </c>
      <c r="K48" s="7">
        <f t="shared" si="3"/>
        <v>17</v>
      </c>
    </row>
    <row r="49" spans="1:11">
      <c r="A49" t="s">
        <v>208</v>
      </c>
      <c r="B49" s="4">
        <v>46159</v>
      </c>
      <c r="C49" t="s">
        <v>16</v>
      </c>
      <c r="D49">
        <v>4</v>
      </c>
      <c r="E49" t="s">
        <v>12</v>
      </c>
      <c r="F49" s="2">
        <v>33.4</v>
      </c>
      <c r="G49" t="s">
        <v>17</v>
      </c>
      <c r="H49" s="7" t="str">
        <f t="shared" si="0"/>
        <v>Fail</v>
      </c>
      <c r="I49" s="7">
        <f t="shared" si="1"/>
        <v>2026</v>
      </c>
      <c r="J49" s="7">
        <f t="shared" si="2"/>
        <v>5</v>
      </c>
      <c r="K49" s="7">
        <f t="shared" si="3"/>
        <v>17</v>
      </c>
    </row>
    <row r="50" spans="1:11">
      <c r="A50" t="s">
        <v>87</v>
      </c>
      <c r="B50" s="4">
        <v>46155</v>
      </c>
      <c r="C50" t="s">
        <v>19</v>
      </c>
      <c r="D50">
        <v>7</v>
      </c>
      <c r="E50" t="s">
        <v>12</v>
      </c>
      <c r="F50" s="2">
        <v>100</v>
      </c>
      <c r="G50" t="s">
        <v>10</v>
      </c>
      <c r="H50" s="7" t="str">
        <f t="shared" si="0"/>
        <v>Pass</v>
      </c>
      <c r="I50" s="7">
        <f t="shared" si="1"/>
        <v>2026</v>
      </c>
      <c r="J50" s="7">
        <f t="shared" si="2"/>
        <v>5</v>
      </c>
      <c r="K50" s="7">
        <f t="shared" si="3"/>
        <v>13</v>
      </c>
    </row>
    <row r="51" spans="1:11">
      <c r="A51" t="s">
        <v>18</v>
      </c>
      <c r="B51" s="4">
        <v>46154</v>
      </c>
      <c r="C51" t="s">
        <v>19</v>
      </c>
      <c r="D51">
        <v>7</v>
      </c>
      <c r="E51" t="s">
        <v>12</v>
      </c>
      <c r="F51" s="2">
        <v>83.5</v>
      </c>
      <c r="G51" t="s">
        <v>10</v>
      </c>
      <c r="H51" s="7" t="str">
        <f t="shared" si="0"/>
        <v>Pass</v>
      </c>
      <c r="I51" s="7">
        <f t="shared" si="1"/>
        <v>2026</v>
      </c>
      <c r="J51" s="7">
        <f t="shared" si="2"/>
        <v>5</v>
      </c>
      <c r="K51" s="7">
        <f t="shared" si="3"/>
        <v>12</v>
      </c>
    </row>
    <row r="52" spans="1:11">
      <c r="A52" t="s">
        <v>248</v>
      </c>
      <c r="B52" s="4">
        <v>46148</v>
      </c>
      <c r="C52" t="s">
        <v>16</v>
      </c>
      <c r="D52">
        <v>7</v>
      </c>
      <c r="E52" t="s">
        <v>14</v>
      </c>
      <c r="F52" s="2">
        <v>79.8</v>
      </c>
      <c r="G52" t="s">
        <v>17</v>
      </c>
      <c r="H52" s="7" t="str">
        <f t="shared" si="0"/>
        <v>Pass</v>
      </c>
      <c r="I52" s="7">
        <f t="shared" si="1"/>
        <v>2026</v>
      </c>
      <c r="J52" s="7">
        <f t="shared" si="2"/>
        <v>5</v>
      </c>
      <c r="K52" s="7">
        <f t="shared" si="3"/>
        <v>6</v>
      </c>
    </row>
    <row r="53" spans="1:11">
      <c r="A53" t="s">
        <v>59</v>
      </c>
      <c r="B53" s="4">
        <v>46144</v>
      </c>
      <c r="C53" t="s">
        <v>24</v>
      </c>
      <c r="D53">
        <v>10</v>
      </c>
      <c r="E53" t="s">
        <v>14</v>
      </c>
      <c r="F53" s="2">
        <v>74</v>
      </c>
      <c r="G53" t="s">
        <v>10</v>
      </c>
      <c r="H53" s="7" t="str">
        <f t="shared" si="0"/>
        <v>Pass</v>
      </c>
      <c r="I53" s="7">
        <f t="shared" si="1"/>
        <v>2026</v>
      </c>
      <c r="J53" s="7">
        <f t="shared" si="2"/>
        <v>5</v>
      </c>
      <c r="K53" s="7">
        <f t="shared" si="3"/>
        <v>2</v>
      </c>
    </row>
    <row r="54" spans="1:11">
      <c r="A54" t="s">
        <v>278</v>
      </c>
      <c r="B54" s="4">
        <v>46143</v>
      </c>
      <c r="C54" t="s">
        <v>19</v>
      </c>
      <c r="D54">
        <v>2</v>
      </c>
      <c r="E54" t="s">
        <v>12</v>
      </c>
      <c r="F54" s="2">
        <v>53</v>
      </c>
      <c r="G54" t="s">
        <v>25</v>
      </c>
      <c r="H54" s="7" t="str">
        <f t="shared" si="0"/>
        <v>Fail</v>
      </c>
      <c r="I54" s="7">
        <f t="shared" si="1"/>
        <v>2026</v>
      </c>
      <c r="J54" s="7">
        <f t="shared" si="2"/>
        <v>5</v>
      </c>
      <c r="K54" s="7">
        <f t="shared" si="3"/>
        <v>1</v>
      </c>
    </row>
    <row r="55" spans="1:11">
      <c r="A55" t="s">
        <v>138</v>
      </c>
      <c r="B55" s="4">
        <v>46141</v>
      </c>
      <c r="C55" t="s">
        <v>11</v>
      </c>
      <c r="D55">
        <v>14</v>
      </c>
      <c r="E55" t="s">
        <v>14</v>
      </c>
      <c r="F55" s="2">
        <v>78.099999999999994</v>
      </c>
      <c r="G55" t="s">
        <v>25</v>
      </c>
      <c r="H55" s="7" t="str">
        <f t="shared" si="0"/>
        <v>Pass</v>
      </c>
      <c r="I55" s="7">
        <f t="shared" si="1"/>
        <v>2026</v>
      </c>
      <c r="J55" s="7">
        <f t="shared" si="2"/>
        <v>4</v>
      </c>
      <c r="K55" s="7">
        <f t="shared" si="3"/>
        <v>29</v>
      </c>
    </row>
    <row r="56" spans="1:11">
      <c r="A56" t="s">
        <v>198</v>
      </c>
      <c r="B56" s="4">
        <v>46141</v>
      </c>
      <c r="C56" t="s">
        <v>36</v>
      </c>
      <c r="D56">
        <v>9</v>
      </c>
      <c r="E56" t="s">
        <v>14</v>
      </c>
      <c r="F56" s="2">
        <v>27.4</v>
      </c>
      <c r="G56" t="s">
        <v>17</v>
      </c>
      <c r="H56" s="7" t="str">
        <f t="shared" si="0"/>
        <v>Fail</v>
      </c>
      <c r="I56" s="7">
        <f t="shared" si="1"/>
        <v>2026</v>
      </c>
      <c r="J56" s="7">
        <f t="shared" si="2"/>
        <v>4</v>
      </c>
      <c r="K56" s="7">
        <f t="shared" si="3"/>
        <v>29</v>
      </c>
    </row>
    <row r="57" spans="1:11">
      <c r="A57" t="s">
        <v>118</v>
      </c>
      <c r="B57" s="4">
        <v>46139</v>
      </c>
      <c r="C57" t="s">
        <v>19</v>
      </c>
      <c r="D57">
        <v>0</v>
      </c>
      <c r="E57" t="s">
        <v>14</v>
      </c>
      <c r="F57" s="2">
        <v>54</v>
      </c>
      <c r="G57" t="s">
        <v>27</v>
      </c>
      <c r="H57" s="7" t="str">
        <f t="shared" si="0"/>
        <v>Fail</v>
      </c>
      <c r="I57" s="7">
        <f t="shared" si="1"/>
        <v>2026</v>
      </c>
      <c r="J57" s="7">
        <f t="shared" si="2"/>
        <v>4</v>
      </c>
      <c r="K57" s="7">
        <f t="shared" si="3"/>
        <v>27</v>
      </c>
    </row>
    <row r="58" spans="1:11">
      <c r="A58" t="s">
        <v>287</v>
      </c>
      <c r="B58" s="4">
        <v>46138</v>
      </c>
      <c r="C58" t="s">
        <v>11</v>
      </c>
      <c r="D58">
        <v>9</v>
      </c>
      <c r="E58" t="s">
        <v>14</v>
      </c>
      <c r="F58" s="2">
        <v>52.4</v>
      </c>
      <c r="G58" t="s">
        <v>17</v>
      </c>
      <c r="H58" s="7" t="str">
        <f t="shared" si="0"/>
        <v>Fail</v>
      </c>
      <c r="I58" s="7">
        <f t="shared" si="1"/>
        <v>2026</v>
      </c>
      <c r="J58" s="7">
        <f t="shared" si="2"/>
        <v>4</v>
      </c>
      <c r="K58" s="7">
        <f t="shared" si="3"/>
        <v>26</v>
      </c>
    </row>
    <row r="59" spans="1:11">
      <c r="A59" t="s">
        <v>43</v>
      </c>
      <c r="B59" s="4">
        <v>46133</v>
      </c>
      <c r="C59" t="s">
        <v>8</v>
      </c>
      <c r="D59">
        <v>12</v>
      </c>
      <c r="E59" t="s">
        <v>44</v>
      </c>
      <c r="F59" s="2">
        <v>87.3</v>
      </c>
      <c r="G59" t="s">
        <v>10</v>
      </c>
      <c r="H59" s="7" t="str">
        <f t="shared" si="0"/>
        <v>Pass</v>
      </c>
      <c r="I59" s="7">
        <f t="shared" si="1"/>
        <v>2026</v>
      </c>
      <c r="J59" s="7">
        <f t="shared" si="2"/>
        <v>4</v>
      </c>
      <c r="K59" s="7">
        <f t="shared" si="3"/>
        <v>21</v>
      </c>
    </row>
    <row r="60" spans="1:11">
      <c r="A60" t="s">
        <v>114</v>
      </c>
      <c r="B60" s="4">
        <v>46132</v>
      </c>
      <c r="C60" t="s">
        <v>16</v>
      </c>
      <c r="D60">
        <v>6</v>
      </c>
      <c r="E60" t="s">
        <v>12</v>
      </c>
      <c r="F60" s="2">
        <v>59.8</v>
      </c>
      <c r="G60" t="s">
        <v>17</v>
      </c>
      <c r="H60" s="7" t="str">
        <f t="shared" si="0"/>
        <v>Fail</v>
      </c>
      <c r="I60" s="7">
        <f t="shared" si="1"/>
        <v>2026</v>
      </c>
      <c r="J60" s="7">
        <f t="shared" si="2"/>
        <v>4</v>
      </c>
      <c r="K60" s="7">
        <f t="shared" si="3"/>
        <v>20</v>
      </c>
    </row>
    <row r="61" spans="1:11">
      <c r="A61" t="s">
        <v>246</v>
      </c>
      <c r="B61" s="4">
        <v>46132</v>
      </c>
      <c r="C61" t="s">
        <v>8</v>
      </c>
      <c r="D61">
        <v>5</v>
      </c>
      <c r="E61" t="s">
        <v>14</v>
      </c>
      <c r="F61" s="2">
        <v>58</v>
      </c>
      <c r="G61" t="s">
        <v>27</v>
      </c>
      <c r="H61" s="7" t="str">
        <f t="shared" si="0"/>
        <v>Fail</v>
      </c>
      <c r="I61" s="7">
        <f t="shared" si="1"/>
        <v>2026</v>
      </c>
      <c r="J61" s="7">
        <f t="shared" si="2"/>
        <v>4</v>
      </c>
      <c r="K61" s="7">
        <f t="shared" si="3"/>
        <v>20</v>
      </c>
    </row>
    <row r="62" spans="1:11">
      <c r="A62" t="s">
        <v>55</v>
      </c>
      <c r="B62" s="4">
        <v>46128</v>
      </c>
      <c r="C62" t="s">
        <v>8</v>
      </c>
      <c r="D62">
        <v>13</v>
      </c>
      <c r="E62" t="s">
        <v>14</v>
      </c>
      <c r="F62" s="2">
        <v>86.1</v>
      </c>
      <c r="G62" t="s">
        <v>10</v>
      </c>
      <c r="H62" s="7" t="str">
        <f t="shared" si="0"/>
        <v>Pass</v>
      </c>
      <c r="I62" s="7">
        <f t="shared" si="1"/>
        <v>2026</v>
      </c>
      <c r="J62" s="7">
        <f t="shared" si="2"/>
        <v>4</v>
      </c>
      <c r="K62" s="7">
        <f t="shared" si="3"/>
        <v>16</v>
      </c>
    </row>
    <row r="63" spans="1:11">
      <c r="A63" t="s">
        <v>225</v>
      </c>
      <c r="B63" s="4">
        <v>46124</v>
      </c>
      <c r="C63" t="s">
        <v>8</v>
      </c>
      <c r="D63">
        <v>14</v>
      </c>
      <c r="E63" t="s">
        <v>14</v>
      </c>
      <c r="F63" s="2">
        <v>80.3</v>
      </c>
      <c r="G63" t="s">
        <v>10</v>
      </c>
      <c r="H63" s="7" t="str">
        <f t="shared" si="0"/>
        <v>Pass</v>
      </c>
      <c r="I63" s="7">
        <f t="shared" si="1"/>
        <v>2026</v>
      </c>
      <c r="J63" s="7">
        <f t="shared" si="2"/>
        <v>4</v>
      </c>
      <c r="K63" s="7">
        <f t="shared" si="3"/>
        <v>12</v>
      </c>
    </row>
    <row r="64" spans="1:11">
      <c r="A64" t="s">
        <v>132</v>
      </c>
      <c r="B64" s="4">
        <v>46124</v>
      </c>
      <c r="C64" t="s">
        <v>24</v>
      </c>
      <c r="D64">
        <v>9</v>
      </c>
      <c r="E64" t="s">
        <v>14</v>
      </c>
      <c r="F64" s="2">
        <v>74.900000000000006</v>
      </c>
      <c r="G64" t="s">
        <v>17</v>
      </c>
      <c r="H64" s="7" t="str">
        <f t="shared" si="0"/>
        <v>Pass</v>
      </c>
      <c r="I64" s="7">
        <f t="shared" si="1"/>
        <v>2026</v>
      </c>
      <c r="J64" s="7">
        <f t="shared" si="2"/>
        <v>4</v>
      </c>
      <c r="K64" s="7">
        <f t="shared" si="3"/>
        <v>12</v>
      </c>
    </row>
    <row r="65" spans="1:11">
      <c r="A65" t="s">
        <v>143</v>
      </c>
      <c r="B65" s="4">
        <v>46119</v>
      </c>
      <c r="C65" t="s">
        <v>24</v>
      </c>
      <c r="D65">
        <v>14</v>
      </c>
      <c r="E65" t="s">
        <v>14</v>
      </c>
      <c r="F65" s="2">
        <v>81.7</v>
      </c>
      <c r="G65" t="s">
        <v>10</v>
      </c>
      <c r="H65" s="7" t="str">
        <f t="shared" si="0"/>
        <v>Pass</v>
      </c>
      <c r="I65" s="7">
        <f t="shared" si="1"/>
        <v>2026</v>
      </c>
      <c r="J65" s="7">
        <f t="shared" si="2"/>
        <v>4</v>
      </c>
      <c r="K65" s="7">
        <f t="shared" si="3"/>
        <v>7</v>
      </c>
    </row>
    <row r="66" spans="1:11">
      <c r="A66" t="s">
        <v>102</v>
      </c>
      <c r="B66" s="4">
        <v>46114</v>
      </c>
      <c r="C66" t="s">
        <v>11</v>
      </c>
      <c r="D66">
        <v>6</v>
      </c>
      <c r="E66" t="s">
        <v>14</v>
      </c>
      <c r="F66" s="2">
        <v>88.9</v>
      </c>
      <c r="G66" t="s">
        <v>10</v>
      </c>
      <c r="H66" s="7" t="str">
        <f t="shared" ref="H66:H129" si="4">IF(F66&gt;=70,"Pass","Fail")</f>
        <v>Pass</v>
      </c>
      <c r="I66" s="7">
        <f t="shared" ref="I66:I129" si="5">YEAR(B66)</f>
        <v>2026</v>
      </c>
      <c r="J66" s="7">
        <f t="shared" ref="J66:J129" si="6">MONTH(B66)</f>
        <v>4</v>
      </c>
      <c r="K66" s="7">
        <f t="shared" ref="K66:K129" si="7">DAY(B66)</f>
        <v>2</v>
      </c>
    </row>
    <row r="67" spans="1:11">
      <c r="A67" t="s">
        <v>216</v>
      </c>
      <c r="B67" s="4">
        <v>46112</v>
      </c>
      <c r="C67" t="s">
        <v>16</v>
      </c>
      <c r="D67">
        <v>11</v>
      </c>
      <c r="E67" t="s">
        <v>12</v>
      </c>
      <c r="F67" s="2">
        <v>75</v>
      </c>
      <c r="G67" t="s">
        <v>25</v>
      </c>
      <c r="H67" s="7" t="str">
        <f t="shared" si="4"/>
        <v>Pass</v>
      </c>
      <c r="I67" s="7">
        <f t="shared" si="5"/>
        <v>2026</v>
      </c>
      <c r="J67" s="7">
        <f t="shared" si="6"/>
        <v>3</v>
      </c>
      <c r="K67" s="7">
        <f t="shared" si="7"/>
        <v>31</v>
      </c>
    </row>
    <row r="68" spans="1:11">
      <c r="A68" t="s">
        <v>77</v>
      </c>
      <c r="B68" s="4">
        <v>46108</v>
      </c>
      <c r="C68" t="s">
        <v>11</v>
      </c>
      <c r="D68">
        <v>10</v>
      </c>
      <c r="E68" t="s">
        <v>12</v>
      </c>
      <c r="F68" s="2">
        <v>76.900000000000006</v>
      </c>
      <c r="G68" t="s">
        <v>17</v>
      </c>
      <c r="H68" s="7" t="str">
        <f t="shared" si="4"/>
        <v>Pass</v>
      </c>
      <c r="I68" s="7">
        <f t="shared" si="5"/>
        <v>2026</v>
      </c>
      <c r="J68" s="7">
        <f t="shared" si="6"/>
        <v>3</v>
      </c>
      <c r="K68" s="7">
        <f t="shared" si="7"/>
        <v>27</v>
      </c>
    </row>
    <row r="69" spans="1:11">
      <c r="A69" t="s">
        <v>212</v>
      </c>
      <c r="B69" s="4">
        <v>46107</v>
      </c>
      <c r="C69" t="s">
        <v>19</v>
      </c>
      <c r="D69">
        <v>0</v>
      </c>
      <c r="E69" t="s">
        <v>12</v>
      </c>
      <c r="F69" s="2">
        <v>49.6</v>
      </c>
      <c r="G69" t="s">
        <v>27</v>
      </c>
      <c r="H69" s="7" t="str">
        <f t="shared" si="4"/>
        <v>Fail</v>
      </c>
      <c r="I69" s="7">
        <f t="shared" si="5"/>
        <v>2026</v>
      </c>
      <c r="J69" s="7">
        <f t="shared" si="6"/>
        <v>3</v>
      </c>
      <c r="K69" s="7">
        <f t="shared" si="7"/>
        <v>26</v>
      </c>
    </row>
    <row r="70" spans="1:11">
      <c r="A70" t="s">
        <v>115</v>
      </c>
      <c r="B70" s="4">
        <v>46096</v>
      </c>
      <c r="C70" t="s">
        <v>8</v>
      </c>
      <c r="D70">
        <v>14</v>
      </c>
      <c r="E70" t="s">
        <v>36</v>
      </c>
      <c r="F70" s="2">
        <v>88.3</v>
      </c>
      <c r="G70" t="s">
        <v>10</v>
      </c>
      <c r="H70" s="7" t="str">
        <f t="shared" si="4"/>
        <v>Pass</v>
      </c>
      <c r="I70" s="7">
        <f t="shared" si="5"/>
        <v>2026</v>
      </c>
      <c r="J70" s="7">
        <f t="shared" si="6"/>
        <v>3</v>
      </c>
      <c r="K70" s="7">
        <f t="shared" si="7"/>
        <v>15</v>
      </c>
    </row>
    <row r="71" spans="1:11">
      <c r="A71" t="s">
        <v>290</v>
      </c>
      <c r="B71" s="4">
        <v>46093</v>
      </c>
      <c r="C71" t="s">
        <v>8</v>
      </c>
      <c r="D71">
        <v>12</v>
      </c>
      <c r="E71" t="s">
        <v>14</v>
      </c>
      <c r="F71" s="2">
        <v>74</v>
      </c>
      <c r="G71" t="s">
        <v>27</v>
      </c>
      <c r="H71" s="7" t="str">
        <f t="shared" si="4"/>
        <v>Pass</v>
      </c>
      <c r="I71" s="7">
        <f t="shared" si="5"/>
        <v>2026</v>
      </c>
      <c r="J71" s="7">
        <f t="shared" si="6"/>
        <v>3</v>
      </c>
      <c r="K71" s="7">
        <f t="shared" si="7"/>
        <v>12</v>
      </c>
    </row>
    <row r="72" spans="1:11">
      <c r="A72" t="s">
        <v>288</v>
      </c>
      <c r="B72" s="4">
        <v>46093</v>
      </c>
      <c r="C72" t="s">
        <v>11</v>
      </c>
      <c r="D72">
        <v>9</v>
      </c>
      <c r="E72" t="s">
        <v>9</v>
      </c>
      <c r="F72" s="2">
        <v>67.3</v>
      </c>
      <c r="G72" t="s">
        <v>27</v>
      </c>
      <c r="H72" s="7" t="str">
        <f t="shared" si="4"/>
        <v>Fail</v>
      </c>
      <c r="I72" s="7">
        <f t="shared" si="5"/>
        <v>2026</v>
      </c>
      <c r="J72" s="7">
        <f t="shared" si="6"/>
        <v>3</v>
      </c>
      <c r="K72" s="7">
        <f t="shared" si="7"/>
        <v>12</v>
      </c>
    </row>
    <row r="73" spans="1:11">
      <c r="A73" t="s">
        <v>218</v>
      </c>
      <c r="B73" s="4">
        <v>46093</v>
      </c>
      <c r="C73" t="s">
        <v>21</v>
      </c>
      <c r="D73">
        <v>0</v>
      </c>
      <c r="E73" t="s">
        <v>14</v>
      </c>
      <c r="F73" s="2">
        <v>63.4</v>
      </c>
      <c r="G73" t="s">
        <v>27</v>
      </c>
      <c r="H73" s="7" t="str">
        <f t="shared" si="4"/>
        <v>Fail</v>
      </c>
      <c r="I73" s="7">
        <f t="shared" si="5"/>
        <v>2026</v>
      </c>
      <c r="J73" s="7">
        <f t="shared" si="6"/>
        <v>3</v>
      </c>
      <c r="K73" s="7">
        <f t="shared" si="7"/>
        <v>12</v>
      </c>
    </row>
    <row r="74" spans="1:11">
      <c r="A74" t="s">
        <v>66</v>
      </c>
      <c r="B74" s="4">
        <v>46092</v>
      </c>
      <c r="C74" t="s">
        <v>8</v>
      </c>
      <c r="D74">
        <v>7</v>
      </c>
      <c r="E74" t="s">
        <v>36</v>
      </c>
      <c r="F74" s="2">
        <v>96.8</v>
      </c>
      <c r="G74" t="s">
        <v>10</v>
      </c>
      <c r="H74" s="7" t="str">
        <f t="shared" si="4"/>
        <v>Pass</v>
      </c>
      <c r="I74" s="7">
        <f t="shared" si="5"/>
        <v>2026</v>
      </c>
      <c r="J74" s="7">
        <f t="shared" si="6"/>
        <v>3</v>
      </c>
      <c r="K74" s="7">
        <f t="shared" si="7"/>
        <v>11</v>
      </c>
    </row>
    <row r="75" spans="1:11">
      <c r="A75" t="s">
        <v>158</v>
      </c>
      <c r="B75" s="4">
        <v>46090</v>
      </c>
      <c r="C75" t="s">
        <v>24</v>
      </c>
      <c r="D75">
        <v>7</v>
      </c>
      <c r="E75" t="s">
        <v>14</v>
      </c>
      <c r="F75" s="2">
        <v>84.9</v>
      </c>
      <c r="G75" t="s">
        <v>10</v>
      </c>
      <c r="H75" s="7" t="str">
        <f t="shared" si="4"/>
        <v>Pass</v>
      </c>
      <c r="I75" s="7">
        <f t="shared" si="5"/>
        <v>2026</v>
      </c>
      <c r="J75" s="7">
        <f t="shared" si="6"/>
        <v>3</v>
      </c>
      <c r="K75" s="7">
        <f t="shared" si="7"/>
        <v>9</v>
      </c>
    </row>
    <row r="76" spans="1:11">
      <c r="A76" t="s">
        <v>49</v>
      </c>
      <c r="B76" s="4">
        <v>46090</v>
      </c>
      <c r="C76" t="s">
        <v>36</v>
      </c>
      <c r="D76">
        <v>11</v>
      </c>
      <c r="E76" t="s">
        <v>12</v>
      </c>
      <c r="F76" s="2">
        <v>73.7</v>
      </c>
      <c r="G76" t="s">
        <v>27</v>
      </c>
      <c r="H76" s="7" t="str">
        <f t="shared" si="4"/>
        <v>Pass</v>
      </c>
      <c r="I76" s="7">
        <f t="shared" si="5"/>
        <v>2026</v>
      </c>
      <c r="J76" s="7">
        <f t="shared" si="6"/>
        <v>3</v>
      </c>
      <c r="K76" s="7">
        <f t="shared" si="7"/>
        <v>9</v>
      </c>
    </row>
    <row r="77" spans="1:11">
      <c r="A77" t="s">
        <v>258</v>
      </c>
      <c r="B77" s="4">
        <v>46081</v>
      </c>
      <c r="C77" t="s">
        <v>11</v>
      </c>
      <c r="D77">
        <v>0</v>
      </c>
      <c r="E77" t="s">
        <v>14</v>
      </c>
      <c r="F77" s="2">
        <v>78.099999999999994</v>
      </c>
      <c r="G77" t="s">
        <v>25</v>
      </c>
      <c r="H77" s="7" t="str">
        <f t="shared" si="4"/>
        <v>Pass</v>
      </c>
      <c r="I77" s="7">
        <f t="shared" si="5"/>
        <v>2026</v>
      </c>
      <c r="J77" s="7">
        <f t="shared" si="6"/>
        <v>2</v>
      </c>
      <c r="K77" s="7">
        <f t="shared" si="7"/>
        <v>28</v>
      </c>
    </row>
    <row r="78" spans="1:11">
      <c r="A78" t="s">
        <v>90</v>
      </c>
      <c r="B78" s="4">
        <v>46080</v>
      </c>
      <c r="C78" t="s">
        <v>11</v>
      </c>
      <c r="D78">
        <v>9</v>
      </c>
      <c r="E78" t="s">
        <v>14</v>
      </c>
      <c r="F78" s="2">
        <v>53.4</v>
      </c>
      <c r="G78" t="s">
        <v>25</v>
      </c>
      <c r="H78" s="7" t="str">
        <f t="shared" si="4"/>
        <v>Fail</v>
      </c>
      <c r="I78" s="7">
        <f t="shared" si="5"/>
        <v>2026</v>
      </c>
      <c r="J78" s="7">
        <f t="shared" si="6"/>
        <v>2</v>
      </c>
      <c r="K78" s="7">
        <f t="shared" si="7"/>
        <v>27</v>
      </c>
    </row>
    <row r="79" spans="1:11">
      <c r="A79" t="s">
        <v>319</v>
      </c>
      <c r="B79" s="4">
        <v>46076</v>
      </c>
      <c r="C79" t="s">
        <v>24</v>
      </c>
      <c r="D79">
        <v>12</v>
      </c>
      <c r="E79" t="s">
        <v>14</v>
      </c>
      <c r="F79" s="2">
        <v>86</v>
      </c>
      <c r="G79" t="s">
        <v>10</v>
      </c>
      <c r="H79" s="7" t="str">
        <f t="shared" si="4"/>
        <v>Pass</v>
      </c>
      <c r="I79" s="7">
        <f t="shared" si="5"/>
        <v>2026</v>
      </c>
      <c r="J79" s="7">
        <f t="shared" si="6"/>
        <v>2</v>
      </c>
      <c r="K79" s="7">
        <f t="shared" si="7"/>
        <v>23</v>
      </c>
    </row>
    <row r="80" spans="1:11">
      <c r="A80" t="s">
        <v>252</v>
      </c>
      <c r="B80" s="4">
        <v>46076</v>
      </c>
      <c r="C80" t="s">
        <v>24</v>
      </c>
      <c r="D80">
        <v>12</v>
      </c>
      <c r="E80" t="s">
        <v>14</v>
      </c>
      <c r="F80" s="2">
        <v>86</v>
      </c>
      <c r="G80" t="s">
        <v>25</v>
      </c>
      <c r="H80" s="7" t="str">
        <f t="shared" si="4"/>
        <v>Pass</v>
      </c>
      <c r="I80" s="7">
        <f t="shared" si="5"/>
        <v>2026</v>
      </c>
      <c r="J80" s="7">
        <f t="shared" si="6"/>
        <v>2</v>
      </c>
      <c r="K80" s="7">
        <f t="shared" si="7"/>
        <v>23</v>
      </c>
    </row>
    <row r="81" spans="1:11">
      <c r="A81" t="s">
        <v>134</v>
      </c>
      <c r="B81" s="4">
        <v>46074</v>
      </c>
      <c r="C81" t="s">
        <v>16</v>
      </c>
      <c r="D81">
        <v>6</v>
      </c>
      <c r="E81" t="s">
        <v>12</v>
      </c>
      <c r="F81" s="2">
        <v>50.1</v>
      </c>
      <c r="G81" t="s">
        <v>27</v>
      </c>
      <c r="H81" s="7" t="str">
        <f t="shared" si="4"/>
        <v>Fail</v>
      </c>
      <c r="I81" s="7">
        <f t="shared" si="5"/>
        <v>2026</v>
      </c>
      <c r="J81" s="7">
        <f t="shared" si="6"/>
        <v>2</v>
      </c>
      <c r="K81" s="7">
        <f t="shared" si="7"/>
        <v>21</v>
      </c>
    </row>
    <row r="82" spans="1:11">
      <c r="A82" t="s">
        <v>146</v>
      </c>
      <c r="B82" s="4">
        <v>46072</v>
      </c>
      <c r="C82" t="s">
        <v>19</v>
      </c>
      <c r="D82">
        <v>2</v>
      </c>
      <c r="E82" t="s">
        <v>12</v>
      </c>
      <c r="F82" s="2">
        <v>74.8</v>
      </c>
      <c r="G82" t="s">
        <v>25</v>
      </c>
      <c r="H82" s="7" t="str">
        <f t="shared" si="4"/>
        <v>Pass</v>
      </c>
      <c r="I82" s="7">
        <f t="shared" si="5"/>
        <v>2026</v>
      </c>
      <c r="J82" s="7">
        <f t="shared" si="6"/>
        <v>2</v>
      </c>
      <c r="K82" s="7">
        <f t="shared" si="7"/>
        <v>19</v>
      </c>
    </row>
    <row r="83" spans="1:11">
      <c r="A83" t="s">
        <v>142</v>
      </c>
      <c r="B83" s="4">
        <v>46062</v>
      </c>
      <c r="C83" t="s">
        <v>19</v>
      </c>
      <c r="D83">
        <v>12</v>
      </c>
      <c r="E83" t="s">
        <v>14</v>
      </c>
      <c r="F83" s="2">
        <v>54.4</v>
      </c>
      <c r="G83" t="s">
        <v>17</v>
      </c>
      <c r="H83" s="7" t="str">
        <f t="shared" si="4"/>
        <v>Fail</v>
      </c>
      <c r="I83" s="7">
        <f t="shared" si="5"/>
        <v>2026</v>
      </c>
      <c r="J83" s="7">
        <f t="shared" si="6"/>
        <v>2</v>
      </c>
      <c r="K83" s="7">
        <f t="shared" si="7"/>
        <v>9</v>
      </c>
    </row>
    <row r="84" spans="1:11">
      <c r="A84" t="s">
        <v>325</v>
      </c>
      <c r="B84" s="4">
        <v>46054</v>
      </c>
      <c r="C84" t="s">
        <v>21</v>
      </c>
      <c r="D84">
        <v>1</v>
      </c>
      <c r="E84" t="s">
        <v>14</v>
      </c>
      <c r="F84" s="2">
        <v>59.4</v>
      </c>
      <c r="G84" t="s">
        <v>25</v>
      </c>
      <c r="H84" s="7" t="str">
        <f t="shared" si="4"/>
        <v>Fail</v>
      </c>
      <c r="I84" s="7">
        <f t="shared" si="5"/>
        <v>2026</v>
      </c>
      <c r="J84" s="7">
        <f t="shared" si="6"/>
        <v>2</v>
      </c>
      <c r="K84" s="7">
        <f t="shared" si="7"/>
        <v>1</v>
      </c>
    </row>
    <row r="85" spans="1:11">
      <c r="A85" t="s">
        <v>63</v>
      </c>
      <c r="B85" s="4">
        <v>46052</v>
      </c>
      <c r="C85" t="s">
        <v>24</v>
      </c>
      <c r="D85">
        <v>12</v>
      </c>
      <c r="E85" t="s">
        <v>12</v>
      </c>
      <c r="F85" s="2">
        <v>71.599999999999994</v>
      </c>
      <c r="G85" t="s">
        <v>25</v>
      </c>
      <c r="H85" s="7" t="str">
        <f t="shared" si="4"/>
        <v>Pass</v>
      </c>
      <c r="I85" s="7">
        <f t="shared" si="5"/>
        <v>2026</v>
      </c>
      <c r="J85" s="7">
        <f t="shared" si="6"/>
        <v>1</v>
      </c>
      <c r="K85" s="7">
        <f t="shared" si="7"/>
        <v>30</v>
      </c>
    </row>
    <row r="86" spans="1:11">
      <c r="A86" t="s">
        <v>69</v>
      </c>
      <c r="B86" s="4">
        <v>46050</v>
      </c>
      <c r="C86" t="s">
        <v>16</v>
      </c>
      <c r="D86">
        <v>12</v>
      </c>
      <c r="E86" t="s">
        <v>12</v>
      </c>
      <c r="F86" s="2">
        <v>59.7</v>
      </c>
      <c r="G86" t="s">
        <v>17</v>
      </c>
      <c r="H86" s="7" t="str">
        <f t="shared" si="4"/>
        <v>Fail</v>
      </c>
      <c r="I86" s="7">
        <f t="shared" si="5"/>
        <v>2026</v>
      </c>
      <c r="J86" s="7">
        <f t="shared" si="6"/>
        <v>1</v>
      </c>
      <c r="K86" s="7">
        <f t="shared" si="7"/>
        <v>28</v>
      </c>
    </row>
    <row r="87" spans="1:11">
      <c r="A87" t="s">
        <v>151</v>
      </c>
      <c r="B87" s="4">
        <v>46048</v>
      </c>
      <c r="C87" t="s">
        <v>16</v>
      </c>
      <c r="D87">
        <v>10</v>
      </c>
      <c r="E87" t="s">
        <v>12</v>
      </c>
      <c r="F87" s="2">
        <v>66.400000000000006</v>
      </c>
      <c r="G87" t="s">
        <v>25</v>
      </c>
      <c r="H87" s="7" t="str">
        <f t="shared" si="4"/>
        <v>Fail</v>
      </c>
      <c r="I87" s="7">
        <f t="shared" si="5"/>
        <v>2026</v>
      </c>
      <c r="J87" s="7">
        <f t="shared" si="6"/>
        <v>1</v>
      </c>
      <c r="K87" s="7">
        <f t="shared" si="7"/>
        <v>26</v>
      </c>
    </row>
    <row r="88" spans="1:11">
      <c r="A88" t="s">
        <v>170</v>
      </c>
      <c r="B88" s="4">
        <v>46048</v>
      </c>
      <c r="C88" t="s">
        <v>21</v>
      </c>
      <c r="D88">
        <v>7</v>
      </c>
      <c r="E88" t="s">
        <v>14</v>
      </c>
      <c r="F88" s="2">
        <v>59.3</v>
      </c>
      <c r="G88" t="s">
        <v>27</v>
      </c>
      <c r="H88" s="7" t="str">
        <f t="shared" si="4"/>
        <v>Fail</v>
      </c>
      <c r="I88" s="7">
        <f t="shared" si="5"/>
        <v>2026</v>
      </c>
      <c r="J88" s="7">
        <f t="shared" si="6"/>
        <v>1</v>
      </c>
      <c r="K88" s="7">
        <f t="shared" si="7"/>
        <v>26</v>
      </c>
    </row>
    <row r="89" spans="1:11">
      <c r="A89" t="s">
        <v>227</v>
      </c>
      <c r="B89" s="4">
        <v>46047</v>
      </c>
      <c r="C89" t="s">
        <v>24</v>
      </c>
      <c r="D89">
        <v>9</v>
      </c>
      <c r="E89" t="s">
        <v>44</v>
      </c>
      <c r="F89" s="2">
        <v>63.5</v>
      </c>
      <c r="G89" t="s">
        <v>27</v>
      </c>
      <c r="H89" s="7" t="str">
        <f t="shared" si="4"/>
        <v>Fail</v>
      </c>
      <c r="I89" s="7">
        <f t="shared" si="5"/>
        <v>2026</v>
      </c>
      <c r="J89" s="7">
        <f t="shared" si="6"/>
        <v>1</v>
      </c>
      <c r="K89" s="7">
        <f t="shared" si="7"/>
        <v>25</v>
      </c>
    </row>
    <row r="90" spans="1:11">
      <c r="A90" t="s">
        <v>103</v>
      </c>
      <c r="B90" s="4">
        <v>46033</v>
      </c>
      <c r="C90" t="s">
        <v>24</v>
      </c>
      <c r="D90">
        <v>2</v>
      </c>
      <c r="E90" t="s">
        <v>12</v>
      </c>
      <c r="F90" s="2">
        <v>59.8</v>
      </c>
      <c r="G90" t="s">
        <v>17</v>
      </c>
      <c r="H90" s="7" t="str">
        <f t="shared" si="4"/>
        <v>Fail</v>
      </c>
      <c r="I90" s="7">
        <f t="shared" si="5"/>
        <v>2026</v>
      </c>
      <c r="J90" s="7">
        <f t="shared" si="6"/>
        <v>1</v>
      </c>
      <c r="K90" s="7">
        <f t="shared" si="7"/>
        <v>11</v>
      </c>
    </row>
    <row r="91" spans="1:11">
      <c r="A91" t="s">
        <v>166</v>
      </c>
      <c r="B91" s="4">
        <v>46029</v>
      </c>
      <c r="C91" t="s">
        <v>24</v>
      </c>
      <c r="D91">
        <v>5</v>
      </c>
      <c r="E91" t="s">
        <v>14</v>
      </c>
      <c r="F91" s="2">
        <v>90.6</v>
      </c>
      <c r="G91" t="s">
        <v>10</v>
      </c>
      <c r="H91" s="7" t="str">
        <f t="shared" si="4"/>
        <v>Pass</v>
      </c>
      <c r="I91" s="7">
        <f t="shared" si="5"/>
        <v>2026</v>
      </c>
      <c r="J91" s="7">
        <f t="shared" si="6"/>
        <v>1</v>
      </c>
      <c r="K91" s="7">
        <f t="shared" si="7"/>
        <v>7</v>
      </c>
    </row>
    <row r="92" spans="1:11">
      <c r="A92" t="s">
        <v>202</v>
      </c>
      <c r="B92" s="4">
        <v>46028</v>
      </c>
      <c r="C92" t="s">
        <v>16</v>
      </c>
      <c r="D92">
        <v>15</v>
      </c>
      <c r="E92" t="s">
        <v>12</v>
      </c>
      <c r="F92" s="2">
        <v>98.1</v>
      </c>
      <c r="G92" t="s">
        <v>10</v>
      </c>
      <c r="H92" s="7" t="str">
        <f t="shared" si="4"/>
        <v>Pass</v>
      </c>
      <c r="I92" s="7">
        <f t="shared" si="5"/>
        <v>2026</v>
      </c>
      <c r="J92" s="7">
        <f t="shared" si="6"/>
        <v>1</v>
      </c>
      <c r="K92" s="7">
        <f t="shared" si="7"/>
        <v>6</v>
      </c>
    </row>
    <row r="93" spans="1:11">
      <c r="A93" t="s">
        <v>250</v>
      </c>
      <c r="B93" s="4">
        <v>46023</v>
      </c>
      <c r="C93" t="s">
        <v>16</v>
      </c>
      <c r="D93">
        <v>3</v>
      </c>
      <c r="E93" t="s">
        <v>12</v>
      </c>
      <c r="F93" s="2">
        <v>74.400000000000006</v>
      </c>
      <c r="G93" t="s">
        <v>27</v>
      </c>
      <c r="H93" s="7" t="str">
        <f t="shared" si="4"/>
        <v>Pass</v>
      </c>
      <c r="I93" s="7">
        <f t="shared" si="5"/>
        <v>2026</v>
      </c>
      <c r="J93" s="7">
        <f t="shared" si="6"/>
        <v>1</v>
      </c>
      <c r="K93" s="7">
        <f t="shared" si="7"/>
        <v>1</v>
      </c>
    </row>
    <row r="94" spans="1:11">
      <c r="A94" t="s">
        <v>317</v>
      </c>
      <c r="B94" s="4">
        <v>46022</v>
      </c>
      <c r="C94" t="s">
        <v>16</v>
      </c>
      <c r="D94">
        <v>8</v>
      </c>
      <c r="E94" t="s">
        <v>14</v>
      </c>
      <c r="F94" s="2">
        <v>73.5</v>
      </c>
      <c r="G94" t="s">
        <v>27</v>
      </c>
      <c r="H94" s="7" t="str">
        <f t="shared" si="4"/>
        <v>Pass</v>
      </c>
      <c r="I94" s="7">
        <f t="shared" si="5"/>
        <v>2025</v>
      </c>
      <c r="J94" s="7">
        <f t="shared" si="6"/>
        <v>12</v>
      </c>
      <c r="K94" s="7">
        <f t="shared" si="7"/>
        <v>31</v>
      </c>
    </row>
    <row r="95" spans="1:11">
      <c r="A95" t="s">
        <v>51</v>
      </c>
      <c r="B95" s="4">
        <v>46020</v>
      </c>
      <c r="C95" t="s">
        <v>19</v>
      </c>
      <c r="D95">
        <v>4</v>
      </c>
      <c r="E95" t="s">
        <v>14</v>
      </c>
      <c r="F95" s="2">
        <v>48.1</v>
      </c>
      <c r="G95" t="s">
        <v>17</v>
      </c>
      <c r="H95" s="7" t="str">
        <f t="shared" si="4"/>
        <v>Fail</v>
      </c>
      <c r="I95" s="7">
        <f t="shared" si="5"/>
        <v>2025</v>
      </c>
      <c r="J95" s="7">
        <f t="shared" si="6"/>
        <v>12</v>
      </c>
      <c r="K95" s="7">
        <f t="shared" si="7"/>
        <v>29</v>
      </c>
    </row>
    <row r="96" spans="1:11">
      <c r="A96" t="s">
        <v>30</v>
      </c>
      <c r="B96" s="4">
        <v>46019</v>
      </c>
      <c r="C96" t="s">
        <v>36</v>
      </c>
      <c r="D96">
        <v>4</v>
      </c>
      <c r="E96" t="s">
        <v>12</v>
      </c>
      <c r="F96" s="2">
        <v>92.4</v>
      </c>
      <c r="G96" t="s">
        <v>10</v>
      </c>
      <c r="H96" s="7" t="str">
        <f t="shared" si="4"/>
        <v>Pass</v>
      </c>
      <c r="I96" s="7">
        <f t="shared" si="5"/>
        <v>2025</v>
      </c>
      <c r="J96" s="7">
        <f t="shared" si="6"/>
        <v>12</v>
      </c>
      <c r="K96" s="7">
        <f t="shared" si="7"/>
        <v>28</v>
      </c>
    </row>
    <row r="97" spans="1:13">
      <c r="A97" t="s">
        <v>136</v>
      </c>
      <c r="B97" s="4">
        <v>46017</v>
      </c>
      <c r="C97" t="s">
        <v>11</v>
      </c>
      <c r="D97">
        <v>12</v>
      </c>
      <c r="E97" t="s">
        <v>12</v>
      </c>
      <c r="F97" s="2">
        <v>100</v>
      </c>
      <c r="G97" t="s">
        <v>10</v>
      </c>
      <c r="H97" s="7" t="str">
        <f t="shared" si="4"/>
        <v>Pass</v>
      </c>
      <c r="I97" s="7">
        <f t="shared" si="5"/>
        <v>2025</v>
      </c>
      <c r="J97" s="7">
        <f t="shared" si="6"/>
        <v>12</v>
      </c>
      <c r="K97" s="7">
        <f t="shared" si="7"/>
        <v>26</v>
      </c>
    </row>
    <row r="98" spans="1:13">
      <c r="A98" t="s">
        <v>117</v>
      </c>
      <c r="B98" s="4">
        <v>46016</v>
      </c>
      <c r="C98" t="s">
        <v>21</v>
      </c>
      <c r="D98">
        <v>7</v>
      </c>
      <c r="E98" t="s">
        <v>14</v>
      </c>
      <c r="F98" s="2">
        <v>88.4</v>
      </c>
      <c r="G98" t="s">
        <v>10</v>
      </c>
      <c r="H98" s="7" t="str">
        <f t="shared" si="4"/>
        <v>Pass</v>
      </c>
      <c r="I98" s="7">
        <f t="shared" si="5"/>
        <v>2025</v>
      </c>
      <c r="J98" s="7">
        <f t="shared" si="6"/>
        <v>12</v>
      </c>
      <c r="K98" s="7">
        <f t="shared" si="7"/>
        <v>25</v>
      </c>
    </row>
    <row r="99" spans="1:13">
      <c r="A99" t="s">
        <v>80</v>
      </c>
      <c r="B99" s="4">
        <v>46014</v>
      </c>
      <c r="C99" t="s">
        <v>11</v>
      </c>
      <c r="D99">
        <v>4</v>
      </c>
      <c r="E99" t="s">
        <v>14</v>
      </c>
      <c r="F99" s="2">
        <v>81.400000000000006</v>
      </c>
      <c r="G99" t="s">
        <v>10</v>
      </c>
      <c r="H99" s="7" t="str">
        <f t="shared" si="4"/>
        <v>Pass</v>
      </c>
      <c r="I99" s="7">
        <f t="shared" si="5"/>
        <v>2025</v>
      </c>
      <c r="J99" s="7">
        <f t="shared" si="6"/>
        <v>12</v>
      </c>
      <c r="K99" s="7">
        <f t="shared" si="7"/>
        <v>23</v>
      </c>
    </row>
    <row r="100" spans="1:13">
      <c r="A100" t="s">
        <v>104</v>
      </c>
      <c r="B100" s="4">
        <v>46014</v>
      </c>
      <c r="C100" t="s">
        <v>8</v>
      </c>
      <c r="D100">
        <v>7</v>
      </c>
      <c r="E100" t="s">
        <v>36</v>
      </c>
      <c r="F100" s="2">
        <v>70.7</v>
      </c>
      <c r="G100" t="s">
        <v>17</v>
      </c>
      <c r="H100" s="7" t="str">
        <f t="shared" si="4"/>
        <v>Pass</v>
      </c>
      <c r="I100" s="7">
        <f t="shared" si="5"/>
        <v>2025</v>
      </c>
      <c r="J100" s="7">
        <f t="shared" si="6"/>
        <v>12</v>
      </c>
      <c r="K100" s="7">
        <f t="shared" si="7"/>
        <v>23</v>
      </c>
    </row>
    <row r="101" spans="1:13">
      <c r="A101" t="s">
        <v>205</v>
      </c>
      <c r="B101" s="4">
        <v>46013</v>
      </c>
      <c r="C101" t="s">
        <v>21</v>
      </c>
      <c r="D101">
        <v>15</v>
      </c>
      <c r="E101" t="s">
        <v>14</v>
      </c>
      <c r="F101" s="2">
        <v>60.5</v>
      </c>
      <c r="G101" t="s">
        <v>17</v>
      </c>
      <c r="H101" s="7" t="str">
        <f t="shared" si="4"/>
        <v>Fail</v>
      </c>
      <c r="I101" s="7">
        <f t="shared" si="5"/>
        <v>2025</v>
      </c>
      <c r="J101" s="7">
        <f t="shared" si="6"/>
        <v>12</v>
      </c>
      <c r="K101" s="7">
        <f t="shared" si="7"/>
        <v>22</v>
      </c>
    </row>
    <row r="102" spans="1:13">
      <c r="A102" t="s">
        <v>150</v>
      </c>
      <c r="B102" s="4">
        <v>46013</v>
      </c>
      <c r="C102" t="s">
        <v>19</v>
      </c>
      <c r="D102">
        <v>9</v>
      </c>
      <c r="E102" t="s">
        <v>44</v>
      </c>
      <c r="F102" s="2">
        <v>45.1</v>
      </c>
      <c r="G102" t="s">
        <v>17</v>
      </c>
      <c r="H102" s="7" t="str">
        <f t="shared" si="4"/>
        <v>Fail</v>
      </c>
      <c r="I102" s="7">
        <f t="shared" si="5"/>
        <v>2025</v>
      </c>
      <c r="J102" s="7">
        <f t="shared" si="6"/>
        <v>12</v>
      </c>
      <c r="K102" s="7">
        <f t="shared" si="7"/>
        <v>22</v>
      </c>
    </row>
    <row r="103" spans="1:13">
      <c r="A103" t="s">
        <v>28</v>
      </c>
      <c r="B103" s="4">
        <v>46012</v>
      </c>
      <c r="C103" t="s">
        <v>21</v>
      </c>
      <c r="D103">
        <v>1</v>
      </c>
      <c r="E103" t="s">
        <v>12</v>
      </c>
      <c r="F103" s="2">
        <v>89.1</v>
      </c>
      <c r="G103" t="s">
        <v>25</v>
      </c>
      <c r="H103" s="7" t="str">
        <f t="shared" si="4"/>
        <v>Pass</v>
      </c>
      <c r="I103" s="7">
        <f t="shared" si="5"/>
        <v>2025</v>
      </c>
      <c r="J103" s="7">
        <f t="shared" si="6"/>
        <v>12</v>
      </c>
      <c r="K103" s="7">
        <f t="shared" si="7"/>
        <v>21</v>
      </c>
    </row>
    <row r="104" spans="1:13">
      <c r="A104" t="s">
        <v>186</v>
      </c>
      <c r="B104" s="4">
        <v>46010</v>
      </c>
      <c r="C104" t="s">
        <v>8</v>
      </c>
      <c r="D104">
        <v>3</v>
      </c>
      <c r="E104" t="s">
        <v>12</v>
      </c>
      <c r="F104" s="2">
        <v>72.8</v>
      </c>
      <c r="G104" t="s">
        <v>17</v>
      </c>
      <c r="H104" s="7" t="str">
        <f t="shared" si="4"/>
        <v>Pass</v>
      </c>
      <c r="I104" s="7">
        <f t="shared" si="5"/>
        <v>2025</v>
      </c>
      <c r="J104" s="7">
        <f t="shared" si="6"/>
        <v>12</v>
      </c>
      <c r="K104" s="7">
        <f t="shared" si="7"/>
        <v>19</v>
      </c>
    </row>
    <row r="105" spans="1:13">
      <c r="A105" t="s">
        <v>238</v>
      </c>
      <c r="B105" s="4">
        <v>46010</v>
      </c>
      <c r="C105" t="s">
        <v>24</v>
      </c>
      <c r="D105">
        <v>9</v>
      </c>
      <c r="E105" t="s">
        <v>12</v>
      </c>
      <c r="F105" s="2">
        <v>66.3</v>
      </c>
      <c r="G105" t="s">
        <v>17</v>
      </c>
      <c r="H105" s="7" t="str">
        <f t="shared" si="4"/>
        <v>Fail</v>
      </c>
      <c r="I105" s="7">
        <f t="shared" si="5"/>
        <v>2025</v>
      </c>
      <c r="J105" s="7">
        <f t="shared" si="6"/>
        <v>12</v>
      </c>
      <c r="K105" s="7">
        <f t="shared" si="7"/>
        <v>19</v>
      </c>
    </row>
    <row r="106" spans="1:13">
      <c r="A106" t="s">
        <v>96</v>
      </c>
      <c r="B106" s="4">
        <v>46005</v>
      </c>
      <c r="C106" t="s">
        <v>11</v>
      </c>
      <c r="D106">
        <v>9</v>
      </c>
      <c r="E106" t="s">
        <v>12</v>
      </c>
      <c r="F106" s="2">
        <v>71.400000000000006</v>
      </c>
      <c r="G106" t="s">
        <v>27</v>
      </c>
      <c r="H106" s="7" t="str">
        <f t="shared" si="4"/>
        <v>Pass</v>
      </c>
      <c r="I106" s="7">
        <f t="shared" si="5"/>
        <v>2025</v>
      </c>
      <c r="J106" s="7">
        <f t="shared" si="6"/>
        <v>12</v>
      </c>
      <c r="K106" s="7">
        <f t="shared" si="7"/>
        <v>14</v>
      </c>
    </row>
    <row r="107" spans="1:13">
      <c r="A107" t="s">
        <v>112</v>
      </c>
      <c r="B107" s="4">
        <v>46002</v>
      </c>
      <c r="C107" t="s">
        <v>21</v>
      </c>
      <c r="D107">
        <v>7</v>
      </c>
      <c r="E107" t="s">
        <v>12</v>
      </c>
      <c r="F107" s="2">
        <v>66.7</v>
      </c>
      <c r="G107" t="s">
        <v>17</v>
      </c>
      <c r="H107" s="7" t="str">
        <f t="shared" si="4"/>
        <v>Fail</v>
      </c>
      <c r="I107" s="7">
        <f t="shared" si="5"/>
        <v>2025</v>
      </c>
      <c r="J107" s="7">
        <f t="shared" si="6"/>
        <v>12</v>
      </c>
      <c r="K107" s="7">
        <f t="shared" si="7"/>
        <v>11</v>
      </c>
    </row>
    <row r="108" spans="1:13">
      <c r="A108" t="s">
        <v>42</v>
      </c>
      <c r="B108" s="4">
        <v>46001</v>
      </c>
      <c r="C108" t="s">
        <v>8</v>
      </c>
      <c r="D108">
        <v>10</v>
      </c>
      <c r="E108" t="s">
        <v>14</v>
      </c>
      <c r="F108" s="2">
        <v>57.1</v>
      </c>
      <c r="G108" t="s">
        <v>17</v>
      </c>
      <c r="H108" s="7" t="str">
        <f t="shared" si="4"/>
        <v>Fail</v>
      </c>
      <c r="I108" s="7">
        <f t="shared" si="5"/>
        <v>2025</v>
      </c>
      <c r="J108" s="7">
        <f t="shared" si="6"/>
        <v>12</v>
      </c>
      <c r="K108" s="7">
        <f t="shared" si="7"/>
        <v>10</v>
      </c>
    </row>
    <row r="109" spans="1:13">
      <c r="A109" t="s">
        <v>296</v>
      </c>
      <c r="B109" s="4">
        <v>46000</v>
      </c>
      <c r="C109" t="s">
        <v>11</v>
      </c>
      <c r="D109">
        <v>11</v>
      </c>
      <c r="E109" t="s">
        <v>44</v>
      </c>
      <c r="F109" s="2">
        <v>70.3</v>
      </c>
      <c r="G109" t="s">
        <v>25</v>
      </c>
      <c r="H109" s="7" t="str">
        <f t="shared" si="4"/>
        <v>Pass</v>
      </c>
      <c r="I109" s="7">
        <f t="shared" si="5"/>
        <v>2025</v>
      </c>
      <c r="J109" s="7">
        <f t="shared" si="6"/>
        <v>12</v>
      </c>
      <c r="K109" s="7">
        <f t="shared" si="7"/>
        <v>9</v>
      </c>
    </row>
    <row r="110" spans="1:13">
      <c r="A110" t="s">
        <v>125</v>
      </c>
      <c r="B110" s="4">
        <v>45992</v>
      </c>
      <c r="C110" t="s">
        <v>21</v>
      </c>
      <c r="D110">
        <v>6</v>
      </c>
      <c r="E110" t="s">
        <v>12</v>
      </c>
      <c r="F110" s="2">
        <v>79.2</v>
      </c>
      <c r="G110" t="s">
        <v>27</v>
      </c>
      <c r="H110" s="7" t="str">
        <f t="shared" si="4"/>
        <v>Pass</v>
      </c>
      <c r="I110" s="7">
        <f t="shared" si="5"/>
        <v>2025</v>
      </c>
      <c r="J110" s="7">
        <f t="shared" si="6"/>
        <v>12</v>
      </c>
      <c r="K110" s="7">
        <f t="shared" si="7"/>
        <v>1</v>
      </c>
    </row>
    <row r="111" spans="1:13">
      <c r="A111" t="s">
        <v>7</v>
      </c>
      <c r="B111" s="4">
        <v>45990</v>
      </c>
      <c r="C111" t="s">
        <v>8</v>
      </c>
      <c r="D111">
        <v>7</v>
      </c>
      <c r="E111" t="s">
        <v>9</v>
      </c>
      <c r="F111" s="2">
        <v>81.5</v>
      </c>
      <c r="G111" t="s">
        <v>10</v>
      </c>
      <c r="H111" s="7" t="str">
        <f t="shared" si="4"/>
        <v>Pass</v>
      </c>
      <c r="I111" s="7">
        <f t="shared" si="5"/>
        <v>2025</v>
      </c>
      <c r="J111" s="7">
        <f t="shared" si="6"/>
        <v>11</v>
      </c>
      <c r="K111" s="7">
        <f t="shared" si="7"/>
        <v>29</v>
      </c>
      <c r="M111" s="5"/>
    </row>
    <row r="112" spans="1:13">
      <c r="A112" t="s">
        <v>129</v>
      </c>
      <c r="B112" s="4">
        <v>45990</v>
      </c>
      <c r="C112" t="s">
        <v>24</v>
      </c>
      <c r="D112">
        <v>5</v>
      </c>
      <c r="E112" t="s">
        <v>14</v>
      </c>
      <c r="F112" s="2">
        <v>72.5</v>
      </c>
      <c r="G112" t="s">
        <v>27</v>
      </c>
      <c r="H112" s="7" t="str">
        <f t="shared" si="4"/>
        <v>Pass</v>
      </c>
      <c r="I112" s="7">
        <f t="shared" si="5"/>
        <v>2025</v>
      </c>
      <c r="J112" s="7">
        <f t="shared" si="6"/>
        <v>11</v>
      </c>
      <c r="K112" s="7">
        <f t="shared" si="7"/>
        <v>29</v>
      </c>
    </row>
    <row r="113" spans="1:11">
      <c r="A113" t="s">
        <v>173</v>
      </c>
      <c r="B113" s="4">
        <v>45990</v>
      </c>
      <c r="C113" t="s">
        <v>16</v>
      </c>
      <c r="D113">
        <v>7</v>
      </c>
      <c r="E113" t="s">
        <v>12</v>
      </c>
      <c r="F113" s="2">
        <v>67.8</v>
      </c>
      <c r="G113" t="s">
        <v>25</v>
      </c>
      <c r="H113" s="7" t="str">
        <f t="shared" si="4"/>
        <v>Fail</v>
      </c>
      <c r="I113" s="7">
        <f t="shared" si="5"/>
        <v>2025</v>
      </c>
      <c r="J113" s="7">
        <f t="shared" si="6"/>
        <v>11</v>
      </c>
      <c r="K113" s="7">
        <f t="shared" si="7"/>
        <v>29</v>
      </c>
    </row>
    <row r="114" spans="1:11">
      <c r="A114" t="s">
        <v>188</v>
      </c>
      <c r="B114" s="4">
        <v>45988</v>
      </c>
      <c r="C114" t="s">
        <v>21</v>
      </c>
      <c r="D114">
        <v>11</v>
      </c>
      <c r="E114" t="s">
        <v>9</v>
      </c>
      <c r="F114" s="2">
        <v>92.5</v>
      </c>
      <c r="G114" t="s">
        <v>10</v>
      </c>
      <c r="H114" s="7" t="str">
        <f t="shared" si="4"/>
        <v>Pass</v>
      </c>
      <c r="I114" s="7">
        <f t="shared" si="5"/>
        <v>2025</v>
      </c>
      <c r="J114" s="7">
        <f t="shared" si="6"/>
        <v>11</v>
      </c>
      <c r="K114" s="7">
        <f t="shared" si="7"/>
        <v>27</v>
      </c>
    </row>
    <row r="115" spans="1:11">
      <c r="A115" t="s">
        <v>294</v>
      </c>
      <c r="B115" s="4">
        <v>45986</v>
      </c>
      <c r="C115" t="s">
        <v>24</v>
      </c>
      <c r="D115">
        <v>13</v>
      </c>
      <c r="E115" t="s">
        <v>9</v>
      </c>
      <c r="F115" s="2">
        <v>90.4</v>
      </c>
      <c r="G115" t="s">
        <v>10</v>
      </c>
      <c r="H115" s="7" t="str">
        <f t="shared" si="4"/>
        <v>Pass</v>
      </c>
      <c r="I115" s="7">
        <f t="shared" si="5"/>
        <v>2025</v>
      </c>
      <c r="J115" s="7">
        <f t="shared" si="6"/>
        <v>11</v>
      </c>
      <c r="K115" s="7">
        <f t="shared" si="7"/>
        <v>25</v>
      </c>
    </row>
    <row r="116" spans="1:11">
      <c r="A116" t="s">
        <v>160</v>
      </c>
      <c r="B116" s="4">
        <v>45986</v>
      </c>
      <c r="C116" t="s">
        <v>16</v>
      </c>
      <c r="D116">
        <v>10</v>
      </c>
      <c r="E116" t="s">
        <v>14</v>
      </c>
      <c r="F116" s="2">
        <v>86.6</v>
      </c>
      <c r="G116" t="s">
        <v>10</v>
      </c>
      <c r="H116" s="7" t="str">
        <f t="shared" si="4"/>
        <v>Pass</v>
      </c>
      <c r="I116" s="7">
        <f t="shared" si="5"/>
        <v>2025</v>
      </c>
      <c r="J116" s="7">
        <f t="shared" si="6"/>
        <v>11</v>
      </c>
      <c r="K116" s="7">
        <f t="shared" si="7"/>
        <v>25</v>
      </c>
    </row>
    <row r="117" spans="1:11">
      <c r="A117" t="s">
        <v>271</v>
      </c>
      <c r="B117" s="4">
        <v>45985</v>
      </c>
      <c r="C117" t="s">
        <v>36</v>
      </c>
      <c r="D117">
        <v>4</v>
      </c>
      <c r="E117" t="s">
        <v>14</v>
      </c>
      <c r="F117" s="2">
        <v>85.3</v>
      </c>
      <c r="G117" t="s">
        <v>10</v>
      </c>
      <c r="H117" s="7" t="str">
        <f t="shared" si="4"/>
        <v>Pass</v>
      </c>
      <c r="I117" s="7">
        <f t="shared" si="5"/>
        <v>2025</v>
      </c>
      <c r="J117" s="7">
        <f t="shared" si="6"/>
        <v>11</v>
      </c>
      <c r="K117" s="7">
        <f t="shared" si="7"/>
        <v>24</v>
      </c>
    </row>
    <row r="118" spans="1:11">
      <c r="A118" t="s">
        <v>247</v>
      </c>
      <c r="B118" s="4">
        <v>45985</v>
      </c>
      <c r="C118" t="s">
        <v>16</v>
      </c>
      <c r="D118">
        <v>7</v>
      </c>
      <c r="E118" t="s">
        <v>14</v>
      </c>
      <c r="F118" s="2">
        <v>68.099999999999994</v>
      </c>
      <c r="G118" t="s">
        <v>17</v>
      </c>
      <c r="H118" s="7" t="str">
        <f t="shared" si="4"/>
        <v>Fail</v>
      </c>
      <c r="I118" s="7">
        <f t="shared" si="5"/>
        <v>2025</v>
      </c>
      <c r="J118" s="7">
        <f t="shared" si="6"/>
        <v>11</v>
      </c>
      <c r="K118" s="7">
        <f t="shared" si="7"/>
        <v>24</v>
      </c>
    </row>
    <row r="119" spans="1:11">
      <c r="A119" t="s">
        <v>105</v>
      </c>
      <c r="B119" s="4">
        <v>45982</v>
      </c>
      <c r="C119" t="s">
        <v>8</v>
      </c>
      <c r="D119">
        <v>1</v>
      </c>
      <c r="E119" t="s">
        <v>14</v>
      </c>
      <c r="F119" s="2">
        <v>74</v>
      </c>
      <c r="G119" t="s">
        <v>25</v>
      </c>
      <c r="H119" s="7" t="str">
        <f t="shared" si="4"/>
        <v>Pass</v>
      </c>
      <c r="I119" s="7">
        <f t="shared" si="5"/>
        <v>2025</v>
      </c>
      <c r="J119" s="7">
        <f t="shared" si="6"/>
        <v>11</v>
      </c>
      <c r="K119" s="7">
        <f t="shared" si="7"/>
        <v>21</v>
      </c>
    </row>
    <row r="120" spans="1:11">
      <c r="A120" t="s">
        <v>37</v>
      </c>
      <c r="B120" s="4">
        <v>45981</v>
      </c>
      <c r="C120" t="s">
        <v>21</v>
      </c>
      <c r="D120">
        <v>3</v>
      </c>
      <c r="E120" t="s">
        <v>9</v>
      </c>
      <c r="F120" s="2">
        <v>65.900000000000006</v>
      </c>
      <c r="G120" t="s">
        <v>27</v>
      </c>
      <c r="H120" s="7" t="str">
        <f t="shared" si="4"/>
        <v>Fail</v>
      </c>
      <c r="I120" s="7">
        <f t="shared" si="5"/>
        <v>2025</v>
      </c>
      <c r="J120" s="7">
        <f t="shared" si="6"/>
        <v>11</v>
      </c>
      <c r="K120" s="7">
        <f t="shared" si="7"/>
        <v>20</v>
      </c>
    </row>
    <row r="121" spans="1:11">
      <c r="A121" t="s">
        <v>165</v>
      </c>
      <c r="B121" s="4">
        <v>45981</v>
      </c>
      <c r="C121" t="s">
        <v>16</v>
      </c>
      <c r="D121">
        <v>12</v>
      </c>
      <c r="E121" t="s">
        <v>12</v>
      </c>
      <c r="F121" s="2">
        <v>63.2</v>
      </c>
      <c r="G121" t="s">
        <v>27</v>
      </c>
      <c r="H121" s="7" t="str">
        <f t="shared" si="4"/>
        <v>Fail</v>
      </c>
      <c r="I121" s="7">
        <f t="shared" si="5"/>
        <v>2025</v>
      </c>
      <c r="J121" s="7">
        <f t="shared" si="6"/>
        <v>11</v>
      </c>
      <c r="K121" s="7">
        <f t="shared" si="7"/>
        <v>20</v>
      </c>
    </row>
    <row r="122" spans="1:11">
      <c r="A122" t="s">
        <v>201</v>
      </c>
      <c r="B122" s="4">
        <v>45975</v>
      </c>
      <c r="C122" t="s">
        <v>19</v>
      </c>
      <c r="D122">
        <v>7</v>
      </c>
      <c r="E122" t="s">
        <v>9</v>
      </c>
      <c r="F122" s="2">
        <v>95.4</v>
      </c>
      <c r="G122" t="s">
        <v>27</v>
      </c>
      <c r="H122" s="7" t="str">
        <f t="shared" si="4"/>
        <v>Pass</v>
      </c>
      <c r="I122" s="7">
        <f t="shared" si="5"/>
        <v>2025</v>
      </c>
      <c r="J122" s="7">
        <f t="shared" si="6"/>
        <v>11</v>
      </c>
      <c r="K122" s="7">
        <f t="shared" si="7"/>
        <v>14</v>
      </c>
    </row>
    <row r="123" spans="1:11">
      <c r="A123" t="s">
        <v>123</v>
      </c>
      <c r="B123" s="4">
        <v>45974</v>
      </c>
      <c r="C123" t="s">
        <v>19</v>
      </c>
      <c r="D123">
        <v>0</v>
      </c>
      <c r="E123" t="s">
        <v>14</v>
      </c>
      <c r="F123" s="2">
        <v>49.7</v>
      </c>
      <c r="G123" t="s">
        <v>27</v>
      </c>
      <c r="H123" s="7" t="str">
        <f t="shared" si="4"/>
        <v>Fail</v>
      </c>
      <c r="I123" s="7">
        <f t="shared" si="5"/>
        <v>2025</v>
      </c>
      <c r="J123" s="7">
        <f t="shared" si="6"/>
        <v>11</v>
      </c>
      <c r="K123" s="7">
        <f t="shared" si="7"/>
        <v>13</v>
      </c>
    </row>
    <row r="124" spans="1:11">
      <c r="A124" t="s">
        <v>181</v>
      </c>
      <c r="B124" s="4">
        <v>45972</v>
      </c>
      <c r="C124" t="s">
        <v>19</v>
      </c>
      <c r="D124">
        <v>12</v>
      </c>
      <c r="E124" t="s">
        <v>14</v>
      </c>
      <c r="F124" s="2">
        <v>69.099999999999994</v>
      </c>
      <c r="G124" t="s">
        <v>27</v>
      </c>
      <c r="H124" s="7" t="str">
        <f t="shared" si="4"/>
        <v>Fail</v>
      </c>
      <c r="I124" s="7">
        <f t="shared" si="5"/>
        <v>2025</v>
      </c>
      <c r="J124" s="7">
        <f t="shared" si="6"/>
        <v>11</v>
      </c>
      <c r="K124" s="7">
        <f t="shared" si="7"/>
        <v>11</v>
      </c>
    </row>
    <row r="125" spans="1:11">
      <c r="A125" t="s">
        <v>83</v>
      </c>
      <c r="B125" s="4">
        <v>45969</v>
      </c>
      <c r="C125" t="s">
        <v>16</v>
      </c>
      <c r="D125">
        <v>3</v>
      </c>
      <c r="E125" t="s">
        <v>14</v>
      </c>
      <c r="F125" s="2">
        <v>66.2</v>
      </c>
      <c r="G125" t="s">
        <v>27</v>
      </c>
      <c r="H125" s="7" t="str">
        <f t="shared" si="4"/>
        <v>Fail</v>
      </c>
      <c r="I125" s="7">
        <f t="shared" si="5"/>
        <v>2025</v>
      </c>
      <c r="J125" s="7">
        <f t="shared" si="6"/>
        <v>11</v>
      </c>
      <c r="K125" s="7">
        <f t="shared" si="7"/>
        <v>8</v>
      </c>
    </row>
    <row r="126" spans="1:11">
      <c r="A126" t="s">
        <v>265</v>
      </c>
      <c r="B126" s="4">
        <v>45966</v>
      </c>
      <c r="C126" t="s">
        <v>24</v>
      </c>
      <c r="D126">
        <v>3</v>
      </c>
      <c r="E126" t="s">
        <v>14</v>
      </c>
      <c r="F126" s="2">
        <v>67.099999999999994</v>
      </c>
      <c r="G126" t="s">
        <v>25</v>
      </c>
      <c r="H126" s="7" t="str">
        <f t="shared" si="4"/>
        <v>Fail</v>
      </c>
      <c r="I126" s="7">
        <f t="shared" si="5"/>
        <v>2025</v>
      </c>
      <c r="J126" s="7">
        <f t="shared" si="6"/>
        <v>11</v>
      </c>
      <c r="K126" s="7">
        <f t="shared" si="7"/>
        <v>5</v>
      </c>
    </row>
    <row r="127" spans="1:11">
      <c r="A127" t="s">
        <v>179</v>
      </c>
      <c r="B127" s="4">
        <v>45962</v>
      </c>
      <c r="C127" t="s">
        <v>24</v>
      </c>
      <c r="D127">
        <v>7</v>
      </c>
      <c r="E127" t="s">
        <v>14</v>
      </c>
      <c r="F127" s="2">
        <v>65.5</v>
      </c>
      <c r="G127" t="s">
        <v>27</v>
      </c>
      <c r="H127" s="7" t="str">
        <f t="shared" si="4"/>
        <v>Fail</v>
      </c>
      <c r="I127" s="7">
        <f t="shared" si="5"/>
        <v>2025</v>
      </c>
      <c r="J127" s="7">
        <f t="shared" si="6"/>
        <v>11</v>
      </c>
      <c r="K127" s="7">
        <f t="shared" si="7"/>
        <v>1</v>
      </c>
    </row>
    <row r="128" spans="1:11">
      <c r="A128" t="s">
        <v>164</v>
      </c>
      <c r="B128" s="4">
        <v>45961</v>
      </c>
      <c r="C128" t="s">
        <v>21</v>
      </c>
      <c r="D128">
        <v>15</v>
      </c>
      <c r="E128" t="s">
        <v>14</v>
      </c>
      <c r="F128" s="2">
        <v>78.5</v>
      </c>
      <c r="G128" t="s">
        <v>17</v>
      </c>
      <c r="H128" s="7" t="str">
        <f t="shared" si="4"/>
        <v>Pass</v>
      </c>
      <c r="I128" s="7">
        <f t="shared" si="5"/>
        <v>2025</v>
      </c>
      <c r="J128" s="7">
        <f t="shared" si="6"/>
        <v>10</v>
      </c>
      <c r="K128" s="7">
        <f t="shared" si="7"/>
        <v>31</v>
      </c>
    </row>
    <row r="129" spans="1:11">
      <c r="A129" t="s">
        <v>196</v>
      </c>
      <c r="B129" s="4">
        <v>45961</v>
      </c>
      <c r="C129" t="s">
        <v>16</v>
      </c>
      <c r="D129">
        <v>7</v>
      </c>
      <c r="E129" t="s">
        <v>14</v>
      </c>
      <c r="F129" s="2">
        <v>70.599999999999994</v>
      </c>
      <c r="G129" t="s">
        <v>27</v>
      </c>
      <c r="H129" s="7" t="str">
        <f t="shared" si="4"/>
        <v>Pass</v>
      </c>
      <c r="I129" s="7">
        <f t="shared" si="5"/>
        <v>2025</v>
      </c>
      <c r="J129" s="7">
        <f t="shared" si="6"/>
        <v>10</v>
      </c>
      <c r="K129" s="7">
        <f t="shared" si="7"/>
        <v>31</v>
      </c>
    </row>
    <row r="130" spans="1:11">
      <c r="A130" t="s">
        <v>230</v>
      </c>
      <c r="B130" s="4">
        <v>45961</v>
      </c>
      <c r="C130" t="s">
        <v>16</v>
      </c>
      <c r="D130">
        <v>0</v>
      </c>
      <c r="E130" t="s">
        <v>14</v>
      </c>
      <c r="F130" s="2">
        <v>47</v>
      </c>
      <c r="G130" t="s">
        <v>17</v>
      </c>
      <c r="H130" s="7" t="str">
        <f t="shared" ref="H130:H193" si="8">IF(F130&gt;=70,"Pass","Fail")</f>
        <v>Fail</v>
      </c>
      <c r="I130" s="7">
        <f t="shared" ref="I130:I193" si="9">YEAR(B130)</f>
        <v>2025</v>
      </c>
      <c r="J130" s="7">
        <f t="shared" ref="J130:J193" si="10">MONTH(B130)</f>
        <v>10</v>
      </c>
      <c r="K130" s="7">
        <f t="shared" ref="K130:K193" si="11">DAY(B130)</f>
        <v>31</v>
      </c>
    </row>
    <row r="131" spans="1:11">
      <c r="A131" t="s">
        <v>127</v>
      </c>
      <c r="B131" s="4">
        <v>45959</v>
      </c>
      <c r="C131" t="s">
        <v>24</v>
      </c>
      <c r="D131">
        <v>14</v>
      </c>
      <c r="E131" t="s">
        <v>14</v>
      </c>
      <c r="F131" s="2">
        <v>100</v>
      </c>
      <c r="G131" t="s">
        <v>25</v>
      </c>
      <c r="H131" s="7" t="str">
        <f t="shared" si="8"/>
        <v>Pass</v>
      </c>
      <c r="I131" s="7">
        <f t="shared" si="9"/>
        <v>2025</v>
      </c>
      <c r="J131" s="7">
        <f t="shared" si="10"/>
        <v>10</v>
      </c>
      <c r="K131" s="7">
        <f t="shared" si="11"/>
        <v>29</v>
      </c>
    </row>
    <row r="132" spans="1:11">
      <c r="A132" t="s">
        <v>57</v>
      </c>
      <c r="B132" s="4">
        <v>45958</v>
      </c>
      <c r="C132" t="s">
        <v>16</v>
      </c>
      <c r="D132">
        <v>11</v>
      </c>
      <c r="E132" t="s">
        <v>12</v>
      </c>
      <c r="F132" s="2">
        <v>79.400000000000006</v>
      </c>
      <c r="G132" t="s">
        <v>27</v>
      </c>
      <c r="H132" s="7" t="str">
        <f t="shared" si="8"/>
        <v>Pass</v>
      </c>
      <c r="I132" s="7">
        <f t="shared" si="9"/>
        <v>2025</v>
      </c>
      <c r="J132" s="7">
        <f t="shared" si="10"/>
        <v>10</v>
      </c>
      <c r="K132" s="7">
        <f t="shared" si="11"/>
        <v>28</v>
      </c>
    </row>
    <row r="133" spans="1:11">
      <c r="A133" t="s">
        <v>86</v>
      </c>
      <c r="B133" s="4">
        <v>45954</v>
      </c>
      <c r="C133" t="s">
        <v>21</v>
      </c>
      <c r="D133">
        <v>8</v>
      </c>
      <c r="E133" t="s">
        <v>12</v>
      </c>
      <c r="F133" s="2">
        <v>96.6</v>
      </c>
      <c r="G133" t="s">
        <v>10</v>
      </c>
      <c r="H133" s="7" t="str">
        <f t="shared" si="8"/>
        <v>Pass</v>
      </c>
      <c r="I133" s="7">
        <f t="shared" si="9"/>
        <v>2025</v>
      </c>
      <c r="J133" s="7">
        <f t="shared" si="10"/>
        <v>10</v>
      </c>
      <c r="K133" s="7">
        <f t="shared" si="11"/>
        <v>24</v>
      </c>
    </row>
    <row r="134" spans="1:11">
      <c r="A134" t="s">
        <v>154</v>
      </c>
      <c r="B134" s="4">
        <v>45952</v>
      </c>
      <c r="C134" t="s">
        <v>21</v>
      </c>
      <c r="D134">
        <v>2</v>
      </c>
      <c r="E134" t="s">
        <v>36</v>
      </c>
      <c r="F134" s="2">
        <v>87.7</v>
      </c>
      <c r="G134" t="s">
        <v>10</v>
      </c>
      <c r="H134" s="7" t="str">
        <f t="shared" si="8"/>
        <v>Pass</v>
      </c>
      <c r="I134" s="7">
        <f t="shared" si="9"/>
        <v>2025</v>
      </c>
      <c r="J134" s="7">
        <f t="shared" si="10"/>
        <v>10</v>
      </c>
      <c r="K134" s="7">
        <f t="shared" si="11"/>
        <v>22</v>
      </c>
    </row>
    <row r="135" spans="1:11">
      <c r="A135" t="s">
        <v>254</v>
      </c>
      <c r="B135" s="4">
        <v>45950</v>
      </c>
      <c r="C135" t="s">
        <v>11</v>
      </c>
      <c r="D135">
        <v>12</v>
      </c>
      <c r="E135" t="s">
        <v>14</v>
      </c>
      <c r="F135" s="2">
        <v>93</v>
      </c>
      <c r="G135" t="s">
        <v>10</v>
      </c>
      <c r="H135" s="7" t="str">
        <f t="shared" si="8"/>
        <v>Pass</v>
      </c>
      <c r="I135" s="7">
        <f t="shared" si="9"/>
        <v>2025</v>
      </c>
      <c r="J135" s="7">
        <f t="shared" si="10"/>
        <v>10</v>
      </c>
      <c r="K135" s="7">
        <f t="shared" si="11"/>
        <v>20</v>
      </c>
    </row>
    <row r="136" spans="1:11">
      <c r="A136" t="s">
        <v>121</v>
      </c>
      <c r="B136" s="4">
        <v>45950</v>
      </c>
      <c r="C136" t="s">
        <v>11</v>
      </c>
      <c r="D136">
        <v>14</v>
      </c>
      <c r="E136" t="s">
        <v>12</v>
      </c>
      <c r="F136" s="2">
        <v>71.599999999999994</v>
      </c>
      <c r="G136" t="s">
        <v>25</v>
      </c>
      <c r="H136" s="7" t="str">
        <f t="shared" si="8"/>
        <v>Pass</v>
      </c>
      <c r="I136" s="7">
        <f t="shared" si="9"/>
        <v>2025</v>
      </c>
      <c r="J136" s="7">
        <f t="shared" si="10"/>
        <v>10</v>
      </c>
      <c r="K136" s="7">
        <f t="shared" si="11"/>
        <v>20</v>
      </c>
    </row>
    <row r="137" spans="1:11">
      <c r="A137" t="s">
        <v>295</v>
      </c>
      <c r="B137" s="4">
        <v>45948</v>
      </c>
      <c r="C137" t="s">
        <v>16</v>
      </c>
      <c r="D137">
        <v>7</v>
      </c>
      <c r="E137" t="s">
        <v>14</v>
      </c>
      <c r="F137" s="2">
        <v>82.4</v>
      </c>
      <c r="G137" t="s">
        <v>10</v>
      </c>
      <c r="H137" s="7" t="str">
        <f t="shared" si="8"/>
        <v>Pass</v>
      </c>
      <c r="I137" s="7">
        <f t="shared" si="9"/>
        <v>2025</v>
      </c>
      <c r="J137" s="7">
        <f t="shared" si="10"/>
        <v>10</v>
      </c>
      <c r="K137" s="7">
        <f t="shared" si="11"/>
        <v>18</v>
      </c>
    </row>
    <row r="138" spans="1:11">
      <c r="A138" t="s">
        <v>260</v>
      </c>
      <c r="B138" s="4">
        <v>45947</v>
      </c>
      <c r="C138" t="s">
        <v>16</v>
      </c>
      <c r="D138">
        <v>3</v>
      </c>
      <c r="E138" t="s">
        <v>12</v>
      </c>
      <c r="F138" s="2">
        <v>100</v>
      </c>
      <c r="G138" t="s">
        <v>10</v>
      </c>
      <c r="H138" s="7" t="str">
        <f t="shared" si="8"/>
        <v>Pass</v>
      </c>
      <c r="I138" s="7">
        <f t="shared" si="9"/>
        <v>2025</v>
      </c>
      <c r="J138" s="7">
        <f t="shared" si="10"/>
        <v>10</v>
      </c>
      <c r="K138" s="7">
        <f t="shared" si="11"/>
        <v>17</v>
      </c>
    </row>
    <row r="139" spans="1:11">
      <c r="A139" t="s">
        <v>109</v>
      </c>
      <c r="B139" s="4">
        <v>45946</v>
      </c>
      <c r="C139" t="s">
        <v>8</v>
      </c>
      <c r="D139">
        <v>0</v>
      </c>
      <c r="E139" t="s">
        <v>14</v>
      </c>
      <c r="F139" s="2">
        <v>58.2</v>
      </c>
      <c r="G139" t="s">
        <v>17</v>
      </c>
      <c r="H139" s="7" t="str">
        <f t="shared" si="8"/>
        <v>Fail</v>
      </c>
      <c r="I139" s="7">
        <f t="shared" si="9"/>
        <v>2025</v>
      </c>
      <c r="J139" s="7">
        <f t="shared" si="10"/>
        <v>10</v>
      </c>
      <c r="K139" s="7">
        <f t="shared" si="11"/>
        <v>16</v>
      </c>
    </row>
    <row r="140" spans="1:11">
      <c r="A140" t="s">
        <v>84</v>
      </c>
      <c r="B140" s="4">
        <v>45940</v>
      </c>
      <c r="C140" t="s">
        <v>19</v>
      </c>
      <c r="D140">
        <v>1</v>
      </c>
      <c r="E140" t="s">
        <v>14</v>
      </c>
      <c r="F140" s="2">
        <v>80.3</v>
      </c>
      <c r="G140" t="s">
        <v>17</v>
      </c>
      <c r="H140" s="7" t="str">
        <f t="shared" si="8"/>
        <v>Pass</v>
      </c>
      <c r="I140" s="7">
        <f t="shared" si="9"/>
        <v>2025</v>
      </c>
      <c r="J140" s="7">
        <f t="shared" si="10"/>
        <v>10</v>
      </c>
      <c r="K140" s="7">
        <f t="shared" si="11"/>
        <v>10</v>
      </c>
    </row>
    <row r="141" spans="1:11">
      <c r="A141" t="s">
        <v>68</v>
      </c>
      <c r="B141" s="4">
        <v>45940</v>
      </c>
      <c r="C141" t="s">
        <v>19</v>
      </c>
      <c r="D141">
        <v>7</v>
      </c>
      <c r="E141" t="s">
        <v>14</v>
      </c>
      <c r="F141" s="2">
        <v>79.599999999999994</v>
      </c>
      <c r="G141" t="s">
        <v>25</v>
      </c>
      <c r="H141" s="7" t="str">
        <f t="shared" si="8"/>
        <v>Pass</v>
      </c>
      <c r="I141" s="7">
        <f t="shared" si="9"/>
        <v>2025</v>
      </c>
      <c r="J141" s="7">
        <f t="shared" si="10"/>
        <v>10</v>
      </c>
      <c r="K141" s="7">
        <f t="shared" si="11"/>
        <v>10</v>
      </c>
    </row>
    <row r="142" spans="1:11">
      <c r="A142" t="s">
        <v>88</v>
      </c>
      <c r="B142" s="4">
        <v>45940</v>
      </c>
      <c r="C142" t="s">
        <v>21</v>
      </c>
      <c r="D142">
        <v>5</v>
      </c>
      <c r="E142" t="s">
        <v>14</v>
      </c>
      <c r="F142" s="2">
        <v>75.2</v>
      </c>
      <c r="G142" t="s">
        <v>25</v>
      </c>
      <c r="H142" s="7" t="str">
        <f t="shared" si="8"/>
        <v>Pass</v>
      </c>
      <c r="I142" s="7">
        <f t="shared" si="9"/>
        <v>2025</v>
      </c>
      <c r="J142" s="7">
        <f t="shared" si="10"/>
        <v>10</v>
      </c>
      <c r="K142" s="7">
        <f t="shared" si="11"/>
        <v>10</v>
      </c>
    </row>
    <row r="143" spans="1:11">
      <c r="A143" t="s">
        <v>35</v>
      </c>
      <c r="B143" s="4">
        <v>45940</v>
      </c>
      <c r="C143" t="s">
        <v>21</v>
      </c>
      <c r="D143">
        <v>13</v>
      </c>
      <c r="E143" t="s">
        <v>14</v>
      </c>
      <c r="F143" s="2">
        <v>74.5</v>
      </c>
      <c r="G143" t="s">
        <v>27</v>
      </c>
      <c r="H143" s="7" t="str">
        <f t="shared" si="8"/>
        <v>Pass</v>
      </c>
      <c r="I143" s="7">
        <f t="shared" si="9"/>
        <v>2025</v>
      </c>
      <c r="J143" s="7">
        <f t="shared" si="10"/>
        <v>10</v>
      </c>
      <c r="K143" s="7">
        <f t="shared" si="11"/>
        <v>10</v>
      </c>
    </row>
    <row r="144" spans="1:11">
      <c r="A144" t="s">
        <v>299</v>
      </c>
      <c r="B144" s="4">
        <v>45940</v>
      </c>
      <c r="C144" t="s">
        <v>21</v>
      </c>
      <c r="D144">
        <v>10</v>
      </c>
      <c r="E144" t="s">
        <v>9</v>
      </c>
      <c r="F144" s="2">
        <v>74</v>
      </c>
      <c r="G144" t="s">
        <v>27</v>
      </c>
      <c r="H144" s="7" t="str">
        <f t="shared" si="8"/>
        <v>Pass</v>
      </c>
      <c r="I144" s="7">
        <f t="shared" si="9"/>
        <v>2025</v>
      </c>
      <c r="J144" s="7">
        <f t="shared" si="10"/>
        <v>10</v>
      </c>
      <c r="K144" s="7">
        <f t="shared" si="11"/>
        <v>10</v>
      </c>
    </row>
    <row r="145" spans="1:11">
      <c r="A145" t="s">
        <v>137</v>
      </c>
      <c r="B145" s="4">
        <v>45940</v>
      </c>
      <c r="C145" t="s">
        <v>11</v>
      </c>
      <c r="D145">
        <v>3</v>
      </c>
      <c r="E145" t="s">
        <v>14</v>
      </c>
      <c r="F145" s="2">
        <v>67.8</v>
      </c>
      <c r="G145" t="s">
        <v>27</v>
      </c>
      <c r="H145" s="7" t="str">
        <f t="shared" si="8"/>
        <v>Fail</v>
      </c>
      <c r="I145" s="7">
        <f t="shared" si="9"/>
        <v>2025</v>
      </c>
      <c r="J145" s="7">
        <f t="shared" si="10"/>
        <v>10</v>
      </c>
      <c r="K145" s="7">
        <f t="shared" si="11"/>
        <v>10</v>
      </c>
    </row>
    <row r="146" spans="1:11">
      <c r="A146" t="s">
        <v>200</v>
      </c>
      <c r="B146" s="4">
        <v>45940</v>
      </c>
      <c r="C146" t="s">
        <v>24</v>
      </c>
      <c r="D146">
        <v>2</v>
      </c>
      <c r="E146" t="s">
        <v>14</v>
      </c>
      <c r="F146" s="2">
        <v>66</v>
      </c>
      <c r="G146" t="s">
        <v>17</v>
      </c>
      <c r="H146" s="7" t="str">
        <f t="shared" si="8"/>
        <v>Fail</v>
      </c>
      <c r="I146" s="7">
        <f t="shared" si="9"/>
        <v>2025</v>
      </c>
      <c r="J146" s="7">
        <f t="shared" si="10"/>
        <v>10</v>
      </c>
      <c r="K146" s="7">
        <f t="shared" si="11"/>
        <v>10</v>
      </c>
    </row>
    <row r="147" spans="1:11">
      <c r="A147" t="s">
        <v>99</v>
      </c>
      <c r="B147" s="4">
        <v>45940</v>
      </c>
      <c r="C147" t="s">
        <v>21</v>
      </c>
      <c r="D147">
        <v>12</v>
      </c>
      <c r="E147" t="s">
        <v>14</v>
      </c>
      <c r="F147" s="2">
        <v>65.3</v>
      </c>
      <c r="G147" t="s">
        <v>27</v>
      </c>
      <c r="H147" s="7" t="str">
        <f t="shared" si="8"/>
        <v>Fail</v>
      </c>
      <c r="I147" s="7">
        <f t="shared" si="9"/>
        <v>2025</v>
      </c>
      <c r="J147" s="7">
        <f t="shared" si="10"/>
        <v>10</v>
      </c>
      <c r="K147" s="7">
        <f t="shared" si="11"/>
        <v>10</v>
      </c>
    </row>
    <row r="148" spans="1:11">
      <c r="A148" t="s">
        <v>255</v>
      </c>
      <c r="B148" s="4">
        <v>45940</v>
      </c>
      <c r="C148" t="s">
        <v>11</v>
      </c>
      <c r="D148">
        <v>6</v>
      </c>
      <c r="E148" t="s">
        <v>36</v>
      </c>
      <c r="F148" s="2">
        <v>65.099999999999994</v>
      </c>
      <c r="G148" t="s">
        <v>25</v>
      </c>
      <c r="H148" s="7" t="str">
        <f t="shared" si="8"/>
        <v>Fail</v>
      </c>
      <c r="I148" s="7">
        <f t="shared" si="9"/>
        <v>2025</v>
      </c>
      <c r="J148" s="7">
        <f t="shared" si="10"/>
        <v>10</v>
      </c>
      <c r="K148" s="7">
        <f t="shared" si="11"/>
        <v>10</v>
      </c>
    </row>
    <row r="149" spans="1:11">
      <c r="A149" t="s">
        <v>300</v>
      </c>
      <c r="B149" s="4">
        <v>45940</v>
      </c>
      <c r="C149" t="s">
        <v>21</v>
      </c>
      <c r="D149">
        <v>10</v>
      </c>
      <c r="E149" t="s">
        <v>14</v>
      </c>
      <c r="F149" s="2">
        <v>64</v>
      </c>
      <c r="G149" t="s">
        <v>17</v>
      </c>
      <c r="H149" s="7" t="str">
        <f t="shared" si="8"/>
        <v>Fail</v>
      </c>
      <c r="I149" s="7">
        <f t="shared" si="9"/>
        <v>2025</v>
      </c>
      <c r="J149" s="7">
        <f t="shared" si="10"/>
        <v>10</v>
      </c>
      <c r="K149" s="7">
        <f t="shared" si="11"/>
        <v>10</v>
      </c>
    </row>
    <row r="150" spans="1:11">
      <c r="A150" t="s">
        <v>94</v>
      </c>
      <c r="B150" s="4">
        <v>45940</v>
      </c>
      <c r="C150" t="s">
        <v>16</v>
      </c>
      <c r="D150">
        <v>5</v>
      </c>
      <c r="E150" t="s">
        <v>12</v>
      </c>
      <c r="F150" s="2">
        <v>61.4</v>
      </c>
      <c r="G150" t="s">
        <v>27</v>
      </c>
      <c r="H150" s="7" t="str">
        <f t="shared" si="8"/>
        <v>Fail</v>
      </c>
      <c r="I150" s="7">
        <f t="shared" si="9"/>
        <v>2025</v>
      </c>
      <c r="J150" s="7">
        <f t="shared" si="10"/>
        <v>10</v>
      </c>
      <c r="K150" s="7">
        <f t="shared" si="11"/>
        <v>10</v>
      </c>
    </row>
    <row r="151" spans="1:11">
      <c r="A151" t="s">
        <v>163</v>
      </c>
      <c r="B151" s="4">
        <v>45940</v>
      </c>
      <c r="C151" t="s">
        <v>21</v>
      </c>
      <c r="D151">
        <v>6</v>
      </c>
      <c r="E151" t="s">
        <v>14</v>
      </c>
      <c r="F151" s="2">
        <v>60.6</v>
      </c>
      <c r="G151" t="s">
        <v>25</v>
      </c>
      <c r="H151" s="7" t="str">
        <f t="shared" si="8"/>
        <v>Fail</v>
      </c>
      <c r="I151" s="7">
        <f t="shared" si="9"/>
        <v>2025</v>
      </c>
      <c r="J151" s="7">
        <f t="shared" si="10"/>
        <v>10</v>
      </c>
      <c r="K151" s="7">
        <f t="shared" si="11"/>
        <v>10</v>
      </c>
    </row>
    <row r="152" spans="1:11">
      <c r="A152" t="s">
        <v>56</v>
      </c>
      <c r="B152" s="4">
        <v>45940</v>
      </c>
      <c r="C152" t="s">
        <v>11</v>
      </c>
      <c r="D152">
        <v>13</v>
      </c>
      <c r="E152" t="s">
        <v>14</v>
      </c>
      <c r="F152" s="2">
        <v>60.4</v>
      </c>
      <c r="G152" t="s">
        <v>25</v>
      </c>
      <c r="H152" s="7" t="str">
        <f t="shared" si="8"/>
        <v>Fail</v>
      </c>
      <c r="I152" s="7">
        <f t="shared" si="9"/>
        <v>2025</v>
      </c>
      <c r="J152" s="7">
        <f t="shared" si="10"/>
        <v>10</v>
      </c>
      <c r="K152" s="7">
        <f t="shared" si="11"/>
        <v>10</v>
      </c>
    </row>
    <row r="153" spans="1:11">
      <c r="A153" t="s">
        <v>322</v>
      </c>
      <c r="B153" s="4">
        <v>45940</v>
      </c>
      <c r="C153" t="s">
        <v>21</v>
      </c>
      <c r="D153">
        <v>1</v>
      </c>
      <c r="E153" t="s">
        <v>14</v>
      </c>
      <c r="F153" s="2">
        <v>59.1</v>
      </c>
      <c r="G153" t="s">
        <v>17</v>
      </c>
      <c r="H153" s="7" t="str">
        <f t="shared" si="8"/>
        <v>Fail</v>
      </c>
      <c r="I153" s="7">
        <f t="shared" si="9"/>
        <v>2025</v>
      </c>
      <c r="J153" s="7">
        <f t="shared" si="10"/>
        <v>10</v>
      </c>
      <c r="K153" s="7">
        <f t="shared" si="11"/>
        <v>10</v>
      </c>
    </row>
    <row r="154" spans="1:11">
      <c r="A154" t="s">
        <v>269</v>
      </c>
      <c r="B154" s="4">
        <v>45940</v>
      </c>
      <c r="C154" t="s">
        <v>19</v>
      </c>
      <c r="D154">
        <v>9</v>
      </c>
      <c r="E154" t="s">
        <v>14</v>
      </c>
      <c r="F154" s="2">
        <v>56.4</v>
      </c>
      <c r="G154" t="s">
        <v>27</v>
      </c>
      <c r="H154" s="7" t="str">
        <f t="shared" si="8"/>
        <v>Fail</v>
      </c>
      <c r="I154" s="7">
        <f t="shared" si="9"/>
        <v>2025</v>
      </c>
      <c r="J154" s="7">
        <f t="shared" si="10"/>
        <v>10</v>
      </c>
      <c r="K154" s="7">
        <f t="shared" si="11"/>
        <v>10</v>
      </c>
    </row>
    <row r="155" spans="1:11">
      <c r="A155" t="s">
        <v>221</v>
      </c>
      <c r="B155" s="4">
        <v>45940</v>
      </c>
      <c r="C155" t="s">
        <v>19</v>
      </c>
      <c r="D155">
        <v>7</v>
      </c>
      <c r="E155" t="s">
        <v>14</v>
      </c>
      <c r="F155" s="2">
        <v>54.5</v>
      </c>
      <c r="G155" t="s">
        <v>17</v>
      </c>
      <c r="H155" s="7" t="str">
        <f t="shared" si="8"/>
        <v>Fail</v>
      </c>
      <c r="I155" s="7">
        <f t="shared" si="9"/>
        <v>2025</v>
      </c>
      <c r="J155" s="7">
        <f t="shared" si="10"/>
        <v>10</v>
      </c>
      <c r="K155" s="7">
        <f t="shared" si="11"/>
        <v>10</v>
      </c>
    </row>
    <row r="156" spans="1:11">
      <c r="A156" t="s">
        <v>53</v>
      </c>
      <c r="B156" s="4">
        <v>45940</v>
      </c>
      <c r="C156" t="s">
        <v>19</v>
      </c>
      <c r="D156">
        <v>0</v>
      </c>
      <c r="E156" t="s">
        <v>14</v>
      </c>
      <c r="F156" s="2">
        <v>47</v>
      </c>
      <c r="G156" t="s">
        <v>27</v>
      </c>
      <c r="H156" s="7" t="str">
        <f t="shared" si="8"/>
        <v>Fail</v>
      </c>
      <c r="I156" s="7">
        <f t="shared" si="9"/>
        <v>2025</v>
      </c>
      <c r="J156" s="7">
        <f t="shared" si="10"/>
        <v>10</v>
      </c>
      <c r="K156" s="7">
        <f t="shared" si="11"/>
        <v>10</v>
      </c>
    </row>
    <row r="157" spans="1:11">
      <c r="A157" t="s">
        <v>236</v>
      </c>
      <c r="B157" s="4">
        <v>45938</v>
      </c>
      <c r="C157" t="s">
        <v>36</v>
      </c>
      <c r="D157">
        <v>12</v>
      </c>
      <c r="E157" t="s">
        <v>14</v>
      </c>
      <c r="F157" s="2">
        <v>64.599999999999994</v>
      </c>
      <c r="G157" t="s">
        <v>27</v>
      </c>
      <c r="H157" s="7" t="str">
        <f t="shared" si="8"/>
        <v>Fail</v>
      </c>
      <c r="I157" s="7">
        <f t="shared" si="9"/>
        <v>2025</v>
      </c>
      <c r="J157" s="7">
        <f t="shared" si="10"/>
        <v>10</v>
      </c>
      <c r="K157" s="7">
        <f t="shared" si="11"/>
        <v>8</v>
      </c>
    </row>
    <row r="158" spans="1:11">
      <c r="A158" t="s">
        <v>91</v>
      </c>
      <c r="B158" s="4">
        <v>45929</v>
      </c>
      <c r="C158" t="s">
        <v>19</v>
      </c>
      <c r="D158">
        <v>9</v>
      </c>
      <c r="E158" t="s">
        <v>14</v>
      </c>
      <c r="F158" s="2">
        <v>78.599999999999994</v>
      </c>
      <c r="G158" t="s">
        <v>27</v>
      </c>
      <c r="H158" s="7" t="str">
        <f t="shared" si="8"/>
        <v>Pass</v>
      </c>
      <c r="I158" s="7">
        <f t="shared" si="9"/>
        <v>2025</v>
      </c>
      <c r="J158" s="7">
        <f t="shared" si="10"/>
        <v>9</v>
      </c>
      <c r="K158" s="7">
        <f t="shared" si="11"/>
        <v>29</v>
      </c>
    </row>
    <row r="159" spans="1:11">
      <c r="A159" t="s">
        <v>61</v>
      </c>
      <c r="B159" s="4">
        <v>45929</v>
      </c>
      <c r="C159" t="s">
        <v>21</v>
      </c>
      <c r="D159">
        <v>14</v>
      </c>
      <c r="E159" t="s">
        <v>14</v>
      </c>
      <c r="F159" s="2">
        <v>45.8</v>
      </c>
      <c r="G159" t="s">
        <v>27</v>
      </c>
      <c r="H159" s="7" t="str">
        <f t="shared" si="8"/>
        <v>Fail</v>
      </c>
      <c r="I159" s="7">
        <f t="shared" si="9"/>
        <v>2025</v>
      </c>
      <c r="J159" s="7">
        <f t="shared" si="10"/>
        <v>9</v>
      </c>
      <c r="K159" s="7">
        <f t="shared" si="11"/>
        <v>29</v>
      </c>
    </row>
    <row r="160" spans="1:11">
      <c r="A160" t="s">
        <v>311</v>
      </c>
      <c r="B160" s="4">
        <v>45927</v>
      </c>
      <c r="C160" t="s">
        <v>11</v>
      </c>
      <c r="D160">
        <v>14</v>
      </c>
      <c r="E160" t="s">
        <v>12</v>
      </c>
      <c r="F160" s="2">
        <v>81.3</v>
      </c>
      <c r="G160" t="s">
        <v>10</v>
      </c>
      <c r="H160" s="7" t="str">
        <f t="shared" si="8"/>
        <v>Pass</v>
      </c>
      <c r="I160" s="7">
        <f t="shared" si="9"/>
        <v>2025</v>
      </c>
      <c r="J160" s="7">
        <f t="shared" si="10"/>
        <v>9</v>
      </c>
      <c r="K160" s="7">
        <f t="shared" si="11"/>
        <v>27</v>
      </c>
    </row>
    <row r="161" spans="1:11">
      <c r="A161" t="s">
        <v>172</v>
      </c>
      <c r="B161" s="4">
        <v>45926</v>
      </c>
      <c r="C161" t="s">
        <v>11</v>
      </c>
      <c r="D161">
        <v>1</v>
      </c>
      <c r="E161" t="s">
        <v>12</v>
      </c>
      <c r="F161" s="2">
        <v>74</v>
      </c>
      <c r="G161" t="s">
        <v>27</v>
      </c>
      <c r="H161" s="7" t="str">
        <f t="shared" si="8"/>
        <v>Pass</v>
      </c>
      <c r="I161" s="7">
        <f t="shared" si="9"/>
        <v>2025</v>
      </c>
      <c r="J161" s="7">
        <f t="shared" si="10"/>
        <v>9</v>
      </c>
      <c r="K161" s="7">
        <f t="shared" si="11"/>
        <v>26</v>
      </c>
    </row>
    <row r="162" spans="1:11">
      <c r="A162" t="s">
        <v>124</v>
      </c>
      <c r="B162" s="4">
        <v>45922</v>
      </c>
      <c r="C162" t="s">
        <v>24</v>
      </c>
      <c r="D162">
        <v>5</v>
      </c>
      <c r="E162" t="s">
        <v>14</v>
      </c>
      <c r="F162" s="2">
        <v>59.2</v>
      </c>
      <c r="G162" t="s">
        <v>25</v>
      </c>
      <c r="H162" s="7" t="str">
        <f t="shared" si="8"/>
        <v>Fail</v>
      </c>
      <c r="I162" s="7">
        <f t="shared" si="9"/>
        <v>2025</v>
      </c>
      <c r="J162" s="7">
        <f t="shared" si="10"/>
        <v>9</v>
      </c>
      <c r="K162" s="7">
        <f t="shared" si="11"/>
        <v>22</v>
      </c>
    </row>
    <row r="163" spans="1:11">
      <c r="A163" t="s">
        <v>149</v>
      </c>
      <c r="B163" s="4">
        <v>45919</v>
      </c>
      <c r="C163" t="s">
        <v>19</v>
      </c>
      <c r="D163">
        <v>5</v>
      </c>
      <c r="E163" t="s">
        <v>12</v>
      </c>
      <c r="F163" s="2">
        <v>56.6</v>
      </c>
      <c r="G163" t="s">
        <v>25</v>
      </c>
      <c r="H163" s="7" t="str">
        <f t="shared" si="8"/>
        <v>Fail</v>
      </c>
      <c r="I163" s="7">
        <f t="shared" si="9"/>
        <v>2025</v>
      </c>
      <c r="J163" s="7">
        <f t="shared" si="10"/>
        <v>9</v>
      </c>
      <c r="K163" s="7">
        <f t="shared" si="11"/>
        <v>19</v>
      </c>
    </row>
    <row r="164" spans="1:11">
      <c r="A164" t="s">
        <v>81</v>
      </c>
      <c r="B164" s="4">
        <v>45918</v>
      </c>
      <c r="C164" t="s">
        <v>21</v>
      </c>
      <c r="D164">
        <v>7</v>
      </c>
      <c r="E164" t="s">
        <v>14</v>
      </c>
      <c r="F164" s="2">
        <v>52.1</v>
      </c>
      <c r="G164" t="s">
        <v>25</v>
      </c>
      <c r="H164" s="7" t="str">
        <f t="shared" si="8"/>
        <v>Fail</v>
      </c>
      <c r="I164" s="7">
        <f t="shared" si="9"/>
        <v>2025</v>
      </c>
      <c r="J164" s="7">
        <f t="shared" si="10"/>
        <v>9</v>
      </c>
      <c r="K164" s="7">
        <f t="shared" si="11"/>
        <v>18</v>
      </c>
    </row>
    <row r="165" spans="1:11">
      <c r="A165" t="s">
        <v>73</v>
      </c>
      <c r="B165" s="4">
        <v>45916</v>
      </c>
      <c r="C165" t="s">
        <v>16</v>
      </c>
      <c r="D165">
        <v>14</v>
      </c>
      <c r="E165" t="s">
        <v>9</v>
      </c>
      <c r="F165" s="2">
        <v>68.7</v>
      </c>
      <c r="G165" t="s">
        <v>27</v>
      </c>
      <c r="H165" s="7" t="str">
        <f t="shared" si="8"/>
        <v>Fail</v>
      </c>
      <c r="I165" s="7">
        <f t="shared" si="9"/>
        <v>2025</v>
      </c>
      <c r="J165" s="7">
        <f t="shared" si="10"/>
        <v>9</v>
      </c>
      <c r="K165" s="7">
        <f t="shared" si="11"/>
        <v>16</v>
      </c>
    </row>
    <row r="166" spans="1:11">
      <c r="A166" t="s">
        <v>64</v>
      </c>
      <c r="B166" s="4">
        <v>45916</v>
      </c>
      <c r="C166" t="s">
        <v>11</v>
      </c>
      <c r="D166">
        <v>7</v>
      </c>
      <c r="E166" t="s">
        <v>12</v>
      </c>
      <c r="F166" s="2">
        <v>59.4</v>
      </c>
      <c r="G166" t="s">
        <v>27</v>
      </c>
      <c r="H166" s="7" t="str">
        <f t="shared" si="8"/>
        <v>Fail</v>
      </c>
      <c r="I166" s="7">
        <f t="shared" si="9"/>
        <v>2025</v>
      </c>
      <c r="J166" s="7">
        <f t="shared" si="10"/>
        <v>9</v>
      </c>
      <c r="K166" s="7">
        <f t="shared" si="11"/>
        <v>16</v>
      </c>
    </row>
    <row r="167" spans="1:11">
      <c r="A167" t="s">
        <v>153</v>
      </c>
      <c r="B167" s="4">
        <v>45914</v>
      </c>
      <c r="C167" t="s">
        <v>11</v>
      </c>
      <c r="D167">
        <v>2</v>
      </c>
      <c r="E167" t="s">
        <v>12</v>
      </c>
      <c r="F167" s="2">
        <v>74</v>
      </c>
      <c r="G167" t="s">
        <v>27</v>
      </c>
      <c r="H167" s="7" t="str">
        <f t="shared" si="8"/>
        <v>Pass</v>
      </c>
      <c r="I167" s="7">
        <f t="shared" si="9"/>
        <v>2025</v>
      </c>
      <c r="J167" s="7">
        <f t="shared" si="10"/>
        <v>9</v>
      </c>
      <c r="K167" s="7">
        <f t="shared" si="11"/>
        <v>14</v>
      </c>
    </row>
    <row r="168" spans="1:11">
      <c r="A168" t="s">
        <v>244</v>
      </c>
      <c r="B168" s="4">
        <v>45913</v>
      </c>
      <c r="C168" t="s">
        <v>8</v>
      </c>
      <c r="D168">
        <v>11</v>
      </c>
      <c r="E168" t="s">
        <v>14</v>
      </c>
      <c r="F168" s="2">
        <v>83.6</v>
      </c>
      <c r="G168" t="s">
        <v>10</v>
      </c>
      <c r="H168" s="7" t="str">
        <f t="shared" si="8"/>
        <v>Pass</v>
      </c>
      <c r="I168" s="7">
        <f t="shared" si="9"/>
        <v>2025</v>
      </c>
      <c r="J168" s="7">
        <f t="shared" si="10"/>
        <v>9</v>
      </c>
      <c r="K168" s="7">
        <f t="shared" si="11"/>
        <v>13</v>
      </c>
    </row>
    <row r="169" spans="1:11">
      <c r="A169" t="s">
        <v>58</v>
      </c>
      <c r="B169" s="4">
        <v>45913</v>
      </c>
      <c r="C169" t="s">
        <v>11</v>
      </c>
      <c r="D169">
        <v>1</v>
      </c>
      <c r="E169" t="s">
        <v>14</v>
      </c>
      <c r="F169" s="2">
        <v>61.6</v>
      </c>
      <c r="G169" t="s">
        <v>17</v>
      </c>
      <c r="H169" s="7" t="str">
        <f t="shared" si="8"/>
        <v>Fail</v>
      </c>
      <c r="I169" s="7">
        <f t="shared" si="9"/>
        <v>2025</v>
      </c>
      <c r="J169" s="7">
        <f t="shared" si="10"/>
        <v>9</v>
      </c>
      <c r="K169" s="7">
        <f t="shared" si="11"/>
        <v>13</v>
      </c>
    </row>
    <row r="170" spans="1:11">
      <c r="A170" t="s">
        <v>23</v>
      </c>
      <c r="B170" s="4">
        <v>45910</v>
      </c>
      <c r="C170" t="s">
        <v>24</v>
      </c>
      <c r="D170">
        <v>14</v>
      </c>
      <c r="E170" t="s">
        <v>14</v>
      </c>
      <c r="F170" s="2">
        <v>63.9</v>
      </c>
      <c r="G170" t="s">
        <v>25</v>
      </c>
      <c r="H170" s="7" t="str">
        <f t="shared" si="8"/>
        <v>Fail</v>
      </c>
      <c r="I170" s="7">
        <f t="shared" si="9"/>
        <v>2025</v>
      </c>
      <c r="J170" s="7">
        <f t="shared" si="10"/>
        <v>9</v>
      </c>
      <c r="K170" s="7">
        <f t="shared" si="11"/>
        <v>10</v>
      </c>
    </row>
    <row r="171" spans="1:11">
      <c r="A171" t="s">
        <v>245</v>
      </c>
      <c r="B171" s="4">
        <v>45906</v>
      </c>
      <c r="C171" t="s">
        <v>11</v>
      </c>
      <c r="D171">
        <v>15</v>
      </c>
      <c r="E171" t="s">
        <v>14</v>
      </c>
      <c r="F171" s="2">
        <v>81.099999999999994</v>
      </c>
      <c r="G171" t="s">
        <v>10</v>
      </c>
      <c r="H171" s="7" t="str">
        <f t="shared" si="8"/>
        <v>Pass</v>
      </c>
      <c r="I171" s="7">
        <f t="shared" si="9"/>
        <v>2025</v>
      </c>
      <c r="J171" s="7">
        <f t="shared" si="10"/>
        <v>9</v>
      </c>
      <c r="K171" s="7">
        <f t="shared" si="11"/>
        <v>6</v>
      </c>
    </row>
    <row r="172" spans="1:11">
      <c r="A172" t="s">
        <v>82</v>
      </c>
      <c r="B172" s="4">
        <v>45903</v>
      </c>
      <c r="C172" t="s">
        <v>8</v>
      </c>
      <c r="D172">
        <v>9</v>
      </c>
      <c r="E172" t="s">
        <v>14</v>
      </c>
      <c r="F172" s="2">
        <v>93.3</v>
      </c>
      <c r="G172" t="s">
        <v>25</v>
      </c>
      <c r="H172" s="7" t="str">
        <f t="shared" si="8"/>
        <v>Pass</v>
      </c>
      <c r="I172" s="7">
        <f t="shared" si="9"/>
        <v>2025</v>
      </c>
      <c r="J172" s="7">
        <f t="shared" si="10"/>
        <v>9</v>
      </c>
      <c r="K172" s="7">
        <f t="shared" si="11"/>
        <v>3</v>
      </c>
    </row>
    <row r="173" spans="1:11">
      <c r="A173" t="s">
        <v>47</v>
      </c>
      <c r="B173" s="4">
        <v>45901</v>
      </c>
      <c r="C173" t="s">
        <v>19</v>
      </c>
      <c r="D173">
        <v>7</v>
      </c>
      <c r="E173" t="s">
        <v>14</v>
      </c>
      <c r="F173" s="2">
        <v>80.2</v>
      </c>
      <c r="G173" t="s">
        <v>10</v>
      </c>
      <c r="H173" s="7" t="str">
        <f t="shared" si="8"/>
        <v>Pass</v>
      </c>
      <c r="I173" s="7">
        <f t="shared" si="9"/>
        <v>2025</v>
      </c>
      <c r="J173" s="7">
        <f t="shared" si="10"/>
        <v>9</v>
      </c>
      <c r="K173" s="7">
        <f t="shared" si="11"/>
        <v>1</v>
      </c>
    </row>
    <row r="174" spans="1:11">
      <c r="A174" t="s">
        <v>267</v>
      </c>
      <c r="B174" s="4">
        <v>45899</v>
      </c>
      <c r="C174" t="s">
        <v>19</v>
      </c>
      <c r="D174">
        <v>9</v>
      </c>
      <c r="E174" t="s">
        <v>9</v>
      </c>
      <c r="F174" s="2">
        <v>56.9</v>
      </c>
      <c r="G174" t="s">
        <v>25</v>
      </c>
      <c r="H174" s="7" t="str">
        <f t="shared" si="8"/>
        <v>Fail</v>
      </c>
      <c r="I174" s="7">
        <f t="shared" si="9"/>
        <v>2025</v>
      </c>
      <c r="J174" s="7">
        <f t="shared" si="10"/>
        <v>8</v>
      </c>
      <c r="K174" s="7">
        <f t="shared" si="11"/>
        <v>30</v>
      </c>
    </row>
    <row r="175" spans="1:11">
      <c r="A175" t="s">
        <v>312</v>
      </c>
      <c r="B175" s="4">
        <v>45898</v>
      </c>
      <c r="C175" t="s">
        <v>19</v>
      </c>
      <c r="D175">
        <v>0</v>
      </c>
      <c r="E175" t="s">
        <v>14</v>
      </c>
      <c r="F175" s="2">
        <v>59.6</v>
      </c>
      <c r="G175" t="s">
        <v>17</v>
      </c>
      <c r="H175" s="7" t="str">
        <f t="shared" si="8"/>
        <v>Fail</v>
      </c>
      <c r="I175" s="7">
        <f t="shared" si="9"/>
        <v>2025</v>
      </c>
      <c r="J175" s="7">
        <f t="shared" si="10"/>
        <v>8</v>
      </c>
      <c r="K175" s="7">
        <f t="shared" si="11"/>
        <v>29</v>
      </c>
    </row>
    <row r="176" spans="1:11">
      <c r="A176" t="s">
        <v>67</v>
      </c>
      <c r="B176" s="4">
        <v>45895</v>
      </c>
      <c r="C176" t="s">
        <v>19</v>
      </c>
      <c r="D176">
        <v>10</v>
      </c>
      <c r="E176" t="s">
        <v>44</v>
      </c>
      <c r="F176" s="2">
        <v>74</v>
      </c>
      <c r="G176" t="s">
        <v>10</v>
      </c>
      <c r="H176" s="7" t="str">
        <f t="shared" si="8"/>
        <v>Pass</v>
      </c>
      <c r="I176" s="7">
        <f t="shared" si="9"/>
        <v>2025</v>
      </c>
      <c r="J176" s="7">
        <f t="shared" si="10"/>
        <v>8</v>
      </c>
      <c r="K176" s="7">
        <f t="shared" si="11"/>
        <v>26</v>
      </c>
    </row>
    <row r="177" spans="1:12">
      <c r="A177" t="s">
        <v>93</v>
      </c>
      <c r="B177" s="4">
        <v>45895</v>
      </c>
      <c r="C177" t="s">
        <v>36</v>
      </c>
      <c r="D177">
        <v>10</v>
      </c>
      <c r="E177" t="s">
        <v>14</v>
      </c>
      <c r="F177" s="2">
        <v>73.099999999999994</v>
      </c>
      <c r="G177" t="s">
        <v>25</v>
      </c>
      <c r="H177" s="7" t="str">
        <f t="shared" si="8"/>
        <v>Pass</v>
      </c>
      <c r="I177" s="7">
        <f t="shared" si="9"/>
        <v>2025</v>
      </c>
      <c r="J177" s="7">
        <f t="shared" si="10"/>
        <v>8</v>
      </c>
      <c r="K177" s="7">
        <f t="shared" si="11"/>
        <v>26</v>
      </c>
    </row>
    <row r="178" spans="1:12">
      <c r="A178" t="s">
        <v>13</v>
      </c>
      <c r="B178" s="4">
        <v>45892</v>
      </c>
      <c r="C178" t="s">
        <v>8</v>
      </c>
      <c r="D178">
        <v>10</v>
      </c>
      <c r="E178" t="s">
        <v>14</v>
      </c>
      <c r="F178" s="2">
        <v>90.9</v>
      </c>
      <c r="G178" t="s">
        <v>10</v>
      </c>
      <c r="H178" s="7" t="str">
        <f t="shared" si="8"/>
        <v>Pass</v>
      </c>
      <c r="I178" s="7">
        <f t="shared" si="9"/>
        <v>2025</v>
      </c>
      <c r="J178" s="7">
        <f t="shared" si="10"/>
        <v>8</v>
      </c>
      <c r="K178" s="7">
        <f t="shared" si="11"/>
        <v>23</v>
      </c>
      <c r="L178">
        <f>MEDIAN(D176:D468)</f>
        <v>7</v>
      </c>
    </row>
    <row r="179" spans="1:12">
      <c r="A179" t="s">
        <v>214</v>
      </c>
      <c r="B179" s="4">
        <v>45892</v>
      </c>
      <c r="C179" t="s">
        <v>16</v>
      </c>
      <c r="D179">
        <v>14</v>
      </c>
      <c r="E179" t="s">
        <v>14</v>
      </c>
      <c r="F179" s="2">
        <v>84.2</v>
      </c>
      <c r="G179" t="s">
        <v>10</v>
      </c>
      <c r="H179" s="7" t="str">
        <f t="shared" si="8"/>
        <v>Pass</v>
      </c>
      <c r="I179" s="7">
        <f t="shared" si="9"/>
        <v>2025</v>
      </c>
      <c r="J179" s="7">
        <f t="shared" si="10"/>
        <v>8</v>
      </c>
      <c r="K179" s="7">
        <f t="shared" si="11"/>
        <v>23</v>
      </c>
    </row>
    <row r="180" spans="1:12">
      <c r="A180" t="s">
        <v>259</v>
      </c>
      <c r="B180" s="4">
        <v>45892</v>
      </c>
      <c r="C180" t="s">
        <v>21</v>
      </c>
      <c r="D180">
        <v>13</v>
      </c>
      <c r="E180" t="s">
        <v>14</v>
      </c>
      <c r="F180" s="2">
        <v>41.7</v>
      </c>
      <c r="G180" t="s">
        <v>25</v>
      </c>
      <c r="H180" s="7" t="str">
        <f t="shared" si="8"/>
        <v>Fail</v>
      </c>
      <c r="I180" s="7">
        <f t="shared" si="9"/>
        <v>2025</v>
      </c>
      <c r="J180" s="7">
        <f t="shared" si="10"/>
        <v>8</v>
      </c>
      <c r="K180" s="7">
        <f t="shared" si="11"/>
        <v>23</v>
      </c>
    </row>
    <row r="181" spans="1:12">
      <c r="A181" t="s">
        <v>31</v>
      </c>
      <c r="B181" s="4">
        <v>45890</v>
      </c>
      <c r="C181" t="s">
        <v>21</v>
      </c>
      <c r="D181">
        <v>12</v>
      </c>
      <c r="E181" t="s">
        <v>14</v>
      </c>
      <c r="F181" s="2">
        <v>88.5</v>
      </c>
      <c r="G181" t="s">
        <v>10</v>
      </c>
      <c r="H181" s="7" t="str">
        <f t="shared" si="8"/>
        <v>Pass</v>
      </c>
      <c r="I181" s="7">
        <f t="shared" si="9"/>
        <v>2025</v>
      </c>
      <c r="J181" s="7">
        <f t="shared" si="10"/>
        <v>8</v>
      </c>
      <c r="K181" s="7">
        <f t="shared" si="11"/>
        <v>21</v>
      </c>
    </row>
    <row r="182" spans="1:12">
      <c r="A182" t="s">
        <v>275</v>
      </c>
      <c r="B182" s="4">
        <v>45890</v>
      </c>
      <c r="C182" t="s">
        <v>11</v>
      </c>
      <c r="D182">
        <v>3</v>
      </c>
      <c r="E182" t="s">
        <v>12</v>
      </c>
      <c r="F182" s="2">
        <v>58.8</v>
      </c>
      <c r="G182" t="s">
        <v>17</v>
      </c>
      <c r="H182" s="7" t="str">
        <f t="shared" si="8"/>
        <v>Fail</v>
      </c>
      <c r="I182" s="7">
        <f t="shared" si="9"/>
        <v>2025</v>
      </c>
      <c r="J182" s="7">
        <f t="shared" si="10"/>
        <v>8</v>
      </c>
      <c r="K182" s="7">
        <f t="shared" si="11"/>
        <v>21</v>
      </c>
    </row>
    <row r="183" spans="1:12">
      <c r="A183" t="s">
        <v>78</v>
      </c>
      <c r="B183" s="4">
        <v>45889</v>
      </c>
      <c r="C183" t="s">
        <v>8</v>
      </c>
      <c r="D183">
        <v>10</v>
      </c>
      <c r="E183" t="s">
        <v>36</v>
      </c>
      <c r="F183" s="2">
        <v>73.7</v>
      </c>
      <c r="G183" t="s">
        <v>27</v>
      </c>
      <c r="H183" s="7" t="str">
        <f t="shared" si="8"/>
        <v>Pass</v>
      </c>
      <c r="I183" s="7">
        <f t="shared" si="9"/>
        <v>2025</v>
      </c>
      <c r="J183" s="7">
        <f t="shared" si="10"/>
        <v>8</v>
      </c>
      <c r="K183" s="7">
        <f t="shared" si="11"/>
        <v>20</v>
      </c>
    </row>
    <row r="184" spans="1:12">
      <c r="A184" t="s">
        <v>292</v>
      </c>
      <c r="B184" s="4">
        <v>45887</v>
      </c>
      <c r="C184" t="s">
        <v>24</v>
      </c>
      <c r="D184">
        <v>13</v>
      </c>
      <c r="E184" t="s">
        <v>14</v>
      </c>
      <c r="F184" s="2">
        <v>74</v>
      </c>
      <c r="G184" t="s">
        <v>25</v>
      </c>
      <c r="H184" s="7" t="str">
        <f t="shared" si="8"/>
        <v>Pass</v>
      </c>
      <c r="I184" s="7">
        <f t="shared" si="9"/>
        <v>2025</v>
      </c>
      <c r="J184" s="7">
        <f t="shared" si="10"/>
        <v>8</v>
      </c>
      <c r="K184" s="7">
        <f t="shared" si="11"/>
        <v>18</v>
      </c>
    </row>
    <row r="185" spans="1:12">
      <c r="A185" t="s">
        <v>215</v>
      </c>
      <c r="B185" s="4">
        <v>45886</v>
      </c>
      <c r="C185" t="s">
        <v>8</v>
      </c>
      <c r="D185">
        <v>7</v>
      </c>
      <c r="E185" t="s">
        <v>12</v>
      </c>
      <c r="F185" s="2">
        <v>89.5</v>
      </c>
      <c r="G185" t="s">
        <v>10</v>
      </c>
      <c r="H185" s="7" t="str">
        <f t="shared" si="8"/>
        <v>Pass</v>
      </c>
      <c r="I185" s="7">
        <f t="shared" si="9"/>
        <v>2025</v>
      </c>
      <c r="J185" s="7">
        <f t="shared" si="10"/>
        <v>8</v>
      </c>
      <c r="K185" s="7">
        <f t="shared" si="11"/>
        <v>17</v>
      </c>
    </row>
    <row r="186" spans="1:12">
      <c r="A186" t="s">
        <v>228</v>
      </c>
      <c r="B186" s="4">
        <v>45885</v>
      </c>
      <c r="C186" t="s">
        <v>36</v>
      </c>
      <c r="D186">
        <v>15</v>
      </c>
      <c r="E186" t="s">
        <v>12</v>
      </c>
      <c r="F186" s="2">
        <v>78</v>
      </c>
      <c r="G186" t="s">
        <v>27</v>
      </c>
      <c r="H186" s="7" t="str">
        <f t="shared" si="8"/>
        <v>Pass</v>
      </c>
      <c r="I186" s="7">
        <f t="shared" si="9"/>
        <v>2025</v>
      </c>
      <c r="J186" s="7">
        <f t="shared" si="10"/>
        <v>8</v>
      </c>
      <c r="K186" s="7">
        <f t="shared" si="11"/>
        <v>16</v>
      </c>
    </row>
    <row r="187" spans="1:12">
      <c r="A187" t="s">
        <v>120</v>
      </c>
      <c r="B187" s="4">
        <v>45883</v>
      </c>
      <c r="C187" t="s">
        <v>21</v>
      </c>
      <c r="D187">
        <v>2</v>
      </c>
      <c r="E187" t="s">
        <v>44</v>
      </c>
      <c r="F187" s="2">
        <v>74</v>
      </c>
      <c r="G187" t="s">
        <v>17</v>
      </c>
      <c r="H187" s="7" t="str">
        <f t="shared" si="8"/>
        <v>Pass</v>
      </c>
      <c r="I187" s="7">
        <f t="shared" si="9"/>
        <v>2025</v>
      </c>
      <c r="J187" s="7">
        <f t="shared" si="10"/>
        <v>8</v>
      </c>
      <c r="K187" s="7">
        <f t="shared" si="11"/>
        <v>14</v>
      </c>
    </row>
    <row r="188" spans="1:12">
      <c r="A188" t="s">
        <v>29</v>
      </c>
      <c r="B188" s="4">
        <v>45883</v>
      </c>
      <c r="C188" t="s">
        <v>16</v>
      </c>
      <c r="D188">
        <v>8</v>
      </c>
      <c r="E188" t="s">
        <v>12</v>
      </c>
      <c r="F188" s="2">
        <v>63.1</v>
      </c>
      <c r="G188" t="s">
        <v>27</v>
      </c>
      <c r="H188" s="7" t="str">
        <f t="shared" si="8"/>
        <v>Fail</v>
      </c>
      <c r="I188" s="7">
        <f t="shared" si="9"/>
        <v>2025</v>
      </c>
      <c r="J188" s="7">
        <f t="shared" si="10"/>
        <v>8</v>
      </c>
      <c r="K188" s="7">
        <f t="shared" si="11"/>
        <v>14</v>
      </c>
    </row>
    <row r="189" spans="1:12">
      <c r="A189" t="s">
        <v>284</v>
      </c>
      <c r="B189" s="4">
        <v>45876</v>
      </c>
      <c r="C189" t="s">
        <v>21</v>
      </c>
      <c r="D189">
        <v>10</v>
      </c>
      <c r="E189" t="s">
        <v>14</v>
      </c>
      <c r="F189" s="2">
        <v>64.8</v>
      </c>
      <c r="G189" t="s">
        <v>25</v>
      </c>
      <c r="H189" s="7" t="str">
        <f t="shared" si="8"/>
        <v>Fail</v>
      </c>
      <c r="I189" s="7">
        <f t="shared" si="9"/>
        <v>2025</v>
      </c>
      <c r="J189" s="7">
        <f t="shared" si="10"/>
        <v>8</v>
      </c>
      <c r="K189" s="7">
        <f t="shared" si="11"/>
        <v>7</v>
      </c>
    </row>
    <row r="190" spans="1:12">
      <c r="A190" t="s">
        <v>204</v>
      </c>
      <c r="B190" s="4">
        <v>45874</v>
      </c>
      <c r="C190" t="s">
        <v>19</v>
      </c>
      <c r="D190">
        <v>12</v>
      </c>
      <c r="E190" t="s">
        <v>14</v>
      </c>
      <c r="F190" s="2">
        <v>85.3</v>
      </c>
      <c r="G190" t="s">
        <v>10</v>
      </c>
      <c r="H190" s="7" t="str">
        <f t="shared" si="8"/>
        <v>Pass</v>
      </c>
      <c r="I190" s="7">
        <f t="shared" si="9"/>
        <v>2025</v>
      </c>
      <c r="J190" s="7">
        <f t="shared" si="10"/>
        <v>8</v>
      </c>
      <c r="K190" s="7">
        <f t="shared" si="11"/>
        <v>5</v>
      </c>
    </row>
    <row r="191" spans="1:12">
      <c r="A191" t="s">
        <v>316</v>
      </c>
      <c r="B191" s="4">
        <v>45872</v>
      </c>
      <c r="C191" t="s">
        <v>21</v>
      </c>
      <c r="D191">
        <v>12</v>
      </c>
      <c r="E191" t="s">
        <v>14</v>
      </c>
      <c r="F191" s="2">
        <v>100</v>
      </c>
      <c r="G191" t="s">
        <v>10</v>
      </c>
      <c r="H191" s="7" t="str">
        <f t="shared" si="8"/>
        <v>Pass</v>
      </c>
      <c r="I191" s="7">
        <f t="shared" si="9"/>
        <v>2025</v>
      </c>
      <c r="J191" s="7">
        <f t="shared" si="10"/>
        <v>8</v>
      </c>
      <c r="K191" s="7">
        <f t="shared" si="11"/>
        <v>3</v>
      </c>
    </row>
    <row r="192" spans="1:12">
      <c r="A192" t="s">
        <v>207</v>
      </c>
      <c r="B192" s="4">
        <v>45871</v>
      </c>
      <c r="C192" t="s">
        <v>21</v>
      </c>
      <c r="D192">
        <v>13</v>
      </c>
      <c r="E192" t="s">
        <v>36</v>
      </c>
      <c r="F192" s="2">
        <v>87.6</v>
      </c>
      <c r="G192" t="s">
        <v>10</v>
      </c>
      <c r="H192" s="7" t="str">
        <f t="shared" si="8"/>
        <v>Pass</v>
      </c>
      <c r="I192" s="7">
        <f t="shared" si="9"/>
        <v>2025</v>
      </c>
      <c r="J192" s="7">
        <f t="shared" si="10"/>
        <v>8</v>
      </c>
      <c r="K192" s="7">
        <f t="shared" si="11"/>
        <v>2</v>
      </c>
    </row>
    <row r="193" spans="1:11">
      <c r="A193" t="s">
        <v>152</v>
      </c>
      <c r="B193" s="4">
        <v>45870</v>
      </c>
      <c r="C193" t="s">
        <v>19</v>
      </c>
      <c r="D193">
        <v>15</v>
      </c>
      <c r="E193" t="s">
        <v>12</v>
      </c>
      <c r="F193" s="2">
        <v>87.7</v>
      </c>
      <c r="G193" t="s">
        <v>10</v>
      </c>
      <c r="H193" s="7" t="str">
        <f t="shared" si="8"/>
        <v>Pass</v>
      </c>
      <c r="I193" s="7">
        <f t="shared" si="9"/>
        <v>2025</v>
      </c>
      <c r="J193" s="7">
        <f t="shared" si="10"/>
        <v>8</v>
      </c>
      <c r="K193" s="7">
        <f t="shared" si="11"/>
        <v>1</v>
      </c>
    </row>
    <row r="194" spans="1:11">
      <c r="A194" t="s">
        <v>145</v>
      </c>
      <c r="B194" s="4">
        <v>45864</v>
      </c>
      <c r="C194" t="s">
        <v>19</v>
      </c>
      <c r="D194">
        <v>14</v>
      </c>
      <c r="E194" t="s">
        <v>14</v>
      </c>
      <c r="F194" s="2">
        <v>80.5</v>
      </c>
      <c r="G194" t="s">
        <v>25</v>
      </c>
      <c r="H194" s="7" t="str">
        <f t="shared" ref="H194:H257" si="12">IF(F194&gt;=70,"Pass","Fail")</f>
        <v>Pass</v>
      </c>
      <c r="I194" s="7">
        <f t="shared" ref="I194:I257" si="13">YEAR(B194)</f>
        <v>2025</v>
      </c>
      <c r="J194" s="7">
        <f t="shared" ref="J194:J257" si="14">MONTH(B194)</f>
        <v>7</v>
      </c>
      <c r="K194" s="7">
        <f t="shared" ref="K194:K257" si="15">DAY(B194)</f>
        <v>26</v>
      </c>
    </row>
    <row r="195" spans="1:11">
      <c r="A195" t="s">
        <v>283</v>
      </c>
      <c r="B195" s="4">
        <v>45864</v>
      </c>
      <c r="C195" t="s">
        <v>24</v>
      </c>
      <c r="D195">
        <v>6</v>
      </c>
      <c r="E195" t="s">
        <v>36</v>
      </c>
      <c r="F195" s="2">
        <v>58.1</v>
      </c>
      <c r="G195" t="s">
        <v>25</v>
      </c>
      <c r="H195" s="7" t="str">
        <f t="shared" si="12"/>
        <v>Fail</v>
      </c>
      <c r="I195" s="7">
        <f t="shared" si="13"/>
        <v>2025</v>
      </c>
      <c r="J195" s="7">
        <f t="shared" si="14"/>
        <v>7</v>
      </c>
      <c r="K195" s="7">
        <f t="shared" si="15"/>
        <v>26</v>
      </c>
    </row>
    <row r="196" spans="1:11">
      <c r="A196" t="s">
        <v>229</v>
      </c>
      <c r="B196" s="4">
        <v>45859</v>
      </c>
      <c r="C196" t="s">
        <v>24</v>
      </c>
      <c r="D196">
        <v>6</v>
      </c>
      <c r="E196" t="s">
        <v>14</v>
      </c>
      <c r="F196" s="2">
        <v>59.5</v>
      </c>
      <c r="G196" t="s">
        <v>17</v>
      </c>
      <c r="H196" s="7" t="str">
        <f t="shared" si="12"/>
        <v>Fail</v>
      </c>
      <c r="I196" s="7">
        <f t="shared" si="13"/>
        <v>2025</v>
      </c>
      <c r="J196" s="7">
        <f t="shared" si="14"/>
        <v>7</v>
      </c>
      <c r="K196" s="7">
        <f t="shared" si="15"/>
        <v>21</v>
      </c>
    </row>
    <row r="197" spans="1:11">
      <c r="A197" t="s">
        <v>232</v>
      </c>
      <c r="B197" s="4">
        <v>45854</v>
      </c>
      <c r="C197" t="s">
        <v>11</v>
      </c>
      <c r="D197">
        <v>0</v>
      </c>
      <c r="E197" t="s">
        <v>14</v>
      </c>
      <c r="F197" s="2">
        <v>89.6</v>
      </c>
      <c r="G197" t="s">
        <v>27</v>
      </c>
      <c r="H197" s="7" t="str">
        <f t="shared" si="12"/>
        <v>Pass</v>
      </c>
      <c r="I197" s="7">
        <f t="shared" si="13"/>
        <v>2025</v>
      </c>
      <c r="J197" s="7">
        <f t="shared" si="14"/>
        <v>7</v>
      </c>
      <c r="K197" s="7">
        <f t="shared" si="15"/>
        <v>16</v>
      </c>
    </row>
    <row r="198" spans="1:11">
      <c r="A198" t="s">
        <v>324</v>
      </c>
      <c r="B198" s="4">
        <v>45852</v>
      </c>
      <c r="C198" t="s">
        <v>8</v>
      </c>
      <c r="D198" t="s">
        <v>106</v>
      </c>
      <c r="E198" t="s">
        <v>14</v>
      </c>
      <c r="F198" s="2">
        <v>75.7</v>
      </c>
      <c r="G198" t="s">
        <v>17</v>
      </c>
      <c r="H198" s="7" t="str">
        <f t="shared" si="12"/>
        <v>Pass</v>
      </c>
      <c r="I198" s="7">
        <f t="shared" si="13"/>
        <v>2025</v>
      </c>
      <c r="J198" s="7">
        <f t="shared" si="14"/>
        <v>7</v>
      </c>
      <c r="K198" s="7">
        <f t="shared" si="15"/>
        <v>14</v>
      </c>
    </row>
    <row r="199" spans="1:11">
      <c r="A199" t="s">
        <v>92</v>
      </c>
      <c r="B199" s="4">
        <v>45852</v>
      </c>
      <c r="C199" t="s">
        <v>24</v>
      </c>
      <c r="D199">
        <v>9</v>
      </c>
      <c r="E199" t="s">
        <v>14</v>
      </c>
      <c r="F199" s="2">
        <v>69.8</v>
      </c>
      <c r="G199" t="s">
        <v>25</v>
      </c>
      <c r="H199" s="7" t="str">
        <f t="shared" si="12"/>
        <v>Fail</v>
      </c>
      <c r="I199" s="7">
        <f t="shared" si="13"/>
        <v>2025</v>
      </c>
      <c r="J199" s="7">
        <f t="shared" si="14"/>
        <v>7</v>
      </c>
      <c r="K199" s="7">
        <f t="shared" si="15"/>
        <v>14</v>
      </c>
    </row>
    <row r="200" spans="1:11">
      <c r="A200" t="s">
        <v>211</v>
      </c>
      <c r="B200" s="4">
        <v>45843</v>
      </c>
      <c r="C200" t="s">
        <v>11</v>
      </c>
      <c r="D200">
        <v>7</v>
      </c>
      <c r="E200" t="s">
        <v>14</v>
      </c>
      <c r="F200" s="2">
        <v>58.5</v>
      </c>
      <c r="G200" t="s">
        <v>27</v>
      </c>
      <c r="H200" s="7" t="str">
        <f t="shared" si="12"/>
        <v>Fail</v>
      </c>
      <c r="I200" s="7">
        <f t="shared" si="13"/>
        <v>2025</v>
      </c>
      <c r="J200" s="7">
        <f t="shared" si="14"/>
        <v>7</v>
      </c>
      <c r="K200" s="7">
        <f t="shared" si="15"/>
        <v>5</v>
      </c>
    </row>
    <row r="201" spans="1:11">
      <c r="A201" t="s">
        <v>168</v>
      </c>
      <c r="B201" s="4">
        <v>45843</v>
      </c>
      <c r="C201" t="s">
        <v>8</v>
      </c>
      <c r="D201">
        <v>9</v>
      </c>
      <c r="E201" t="s">
        <v>12</v>
      </c>
      <c r="F201" s="2">
        <v>51.9</v>
      </c>
      <c r="G201" t="s">
        <v>27</v>
      </c>
      <c r="H201" s="7" t="str">
        <f t="shared" si="12"/>
        <v>Fail</v>
      </c>
      <c r="I201" s="7">
        <f t="shared" si="13"/>
        <v>2025</v>
      </c>
      <c r="J201" s="7">
        <f t="shared" si="14"/>
        <v>7</v>
      </c>
      <c r="K201" s="7">
        <f t="shared" si="15"/>
        <v>5</v>
      </c>
    </row>
    <row r="202" spans="1:11">
      <c r="A202" t="s">
        <v>264</v>
      </c>
      <c r="B202" s="4">
        <v>45841</v>
      </c>
      <c r="C202" t="s">
        <v>8</v>
      </c>
      <c r="D202">
        <v>12</v>
      </c>
      <c r="E202" t="s">
        <v>12</v>
      </c>
      <c r="F202" s="2">
        <v>91.8</v>
      </c>
      <c r="G202" t="s">
        <v>10</v>
      </c>
      <c r="H202" s="7" t="str">
        <f t="shared" si="12"/>
        <v>Pass</v>
      </c>
      <c r="I202" s="7">
        <f t="shared" si="13"/>
        <v>2025</v>
      </c>
      <c r="J202" s="7">
        <f t="shared" si="14"/>
        <v>7</v>
      </c>
      <c r="K202" s="7">
        <f t="shared" si="15"/>
        <v>3</v>
      </c>
    </row>
    <row r="203" spans="1:11">
      <c r="A203" t="s">
        <v>195</v>
      </c>
      <c r="B203" s="4">
        <v>45841</v>
      </c>
      <c r="C203" t="s">
        <v>16</v>
      </c>
      <c r="D203">
        <v>13</v>
      </c>
      <c r="E203" t="s">
        <v>9</v>
      </c>
      <c r="F203" s="2">
        <v>73.8</v>
      </c>
      <c r="G203" t="s">
        <v>27</v>
      </c>
      <c r="H203" s="7" t="str">
        <f t="shared" si="12"/>
        <v>Pass</v>
      </c>
      <c r="I203" s="7">
        <f t="shared" si="13"/>
        <v>2025</v>
      </c>
      <c r="J203" s="7">
        <f t="shared" si="14"/>
        <v>7</v>
      </c>
      <c r="K203" s="7">
        <f t="shared" si="15"/>
        <v>3</v>
      </c>
    </row>
    <row r="204" spans="1:11">
      <c r="A204" t="s">
        <v>62</v>
      </c>
      <c r="B204" s="4">
        <v>45838</v>
      </c>
      <c r="C204" t="s">
        <v>24</v>
      </c>
      <c r="D204">
        <v>0</v>
      </c>
      <c r="E204" t="s">
        <v>9</v>
      </c>
      <c r="F204" s="2">
        <v>100</v>
      </c>
      <c r="G204" t="s">
        <v>17</v>
      </c>
      <c r="H204" s="7" t="str">
        <f t="shared" si="12"/>
        <v>Pass</v>
      </c>
      <c r="I204" s="7">
        <f t="shared" si="13"/>
        <v>2025</v>
      </c>
      <c r="J204" s="7">
        <f t="shared" si="14"/>
        <v>6</v>
      </c>
      <c r="K204" s="7">
        <f t="shared" si="15"/>
        <v>30</v>
      </c>
    </row>
    <row r="205" spans="1:11">
      <c r="A205" t="s">
        <v>144</v>
      </c>
      <c r="B205" s="4">
        <v>45836</v>
      </c>
      <c r="C205" t="s">
        <v>16</v>
      </c>
      <c r="D205">
        <v>4</v>
      </c>
      <c r="E205" t="s">
        <v>14</v>
      </c>
      <c r="F205" s="2">
        <v>87.6</v>
      </c>
      <c r="G205" t="s">
        <v>10</v>
      </c>
      <c r="H205" s="7" t="str">
        <f t="shared" si="12"/>
        <v>Pass</v>
      </c>
      <c r="I205" s="7">
        <f t="shared" si="13"/>
        <v>2025</v>
      </c>
      <c r="J205" s="7">
        <f t="shared" si="14"/>
        <v>6</v>
      </c>
      <c r="K205" s="7">
        <f t="shared" si="15"/>
        <v>28</v>
      </c>
    </row>
    <row r="206" spans="1:11">
      <c r="A206" t="s">
        <v>141</v>
      </c>
      <c r="B206" s="4">
        <v>45836</v>
      </c>
      <c r="C206" t="s">
        <v>8</v>
      </c>
      <c r="D206">
        <v>9</v>
      </c>
      <c r="E206" t="s">
        <v>14</v>
      </c>
      <c r="F206" s="2">
        <v>84.1</v>
      </c>
      <c r="G206" t="s">
        <v>10</v>
      </c>
      <c r="H206" s="7" t="str">
        <f t="shared" si="12"/>
        <v>Pass</v>
      </c>
      <c r="I206" s="7">
        <f t="shared" si="13"/>
        <v>2025</v>
      </c>
      <c r="J206" s="7">
        <f t="shared" si="14"/>
        <v>6</v>
      </c>
      <c r="K206" s="7">
        <f t="shared" si="15"/>
        <v>28</v>
      </c>
    </row>
    <row r="207" spans="1:11">
      <c r="A207" t="s">
        <v>210</v>
      </c>
      <c r="B207" s="4">
        <v>45835</v>
      </c>
      <c r="C207" t="s">
        <v>8</v>
      </c>
      <c r="D207">
        <v>5</v>
      </c>
      <c r="E207" t="s">
        <v>12</v>
      </c>
      <c r="F207" s="2">
        <v>68.2</v>
      </c>
      <c r="G207" t="s">
        <v>17</v>
      </c>
      <c r="H207" s="7" t="str">
        <f t="shared" si="12"/>
        <v>Fail</v>
      </c>
      <c r="I207" s="7">
        <f t="shared" si="13"/>
        <v>2025</v>
      </c>
      <c r="J207" s="7">
        <f t="shared" si="14"/>
        <v>6</v>
      </c>
      <c r="K207" s="7">
        <f t="shared" si="15"/>
        <v>27</v>
      </c>
    </row>
    <row r="208" spans="1:11">
      <c r="A208" t="s">
        <v>192</v>
      </c>
      <c r="B208" s="4">
        <v>45833</v>
      </c>
      <c r="C208" t="s">
        <v>36</v>
      </c>
      <c r="D208">
        <v>7</v>
      </c>
      <c r="E208" t="s">
        <v>14</v>
      </c>
      <c r="F208" s="2">
        <v>77.099999999999994</v>
      </c>
      <c r="G208" t="s">
        <v>27</v>
      </c>
      <c r="H208" s="7" t="str">
        <f t="shared" si="12"/>
        <v>Pass</v>
      </c>
      <c r="I208" s="7">
        <f t="shared" si="13"/>
        <v>2025</v>
      </c>
      <c r="J208" s="7">
        <f t="shared" si="14"/>
        <v>6</v>
      </c>
      <c r="K208" s="7">
        <f t="shared" si="15"/>
        <v>25</v>
      </c>
    </row>
    <row r="209" spans="1:11">
      <c r="A209" t="s">
        <v>257</v>
      </c>
      <c r="B209" s="4">
        <v>45829</v>
      </c>
      <c r="C209" t="s">
        <v>11</v>
      </c>
      <c r="D209">
        <v>15</v>
      </c>
      <c r="E209" t="s">
        <v>14</v>
      </c>
      <c r="F209" s="2">
        <v>91.3</v>
      </c>
      <c r="G209" t="s">
        <v>10</v>
      </c>
      <c r="H209" s="7" t="str">
        <f t="shared" si="12"/>
        <v>Pass</v>
      </c>
      <c r="I209" s="7">
        <f t="shared" si="13"/>
        <v>2025</v>
      </c>
      <c r="J209" s="7">
        <f t="shared" si="14"/>
        <v>6</v>
      </c>
      <c r="K209" s="7">
        <f t="shared" si="15"/>
        <v>21</v>
      </c>
    </row>
    <row r="210" spans="1:11">
      <c r="A210" t="s">
        <v>233</v>
      </c>
      <c r="B210" s="4">
        <v>45828</v>
      </c>
      <c r="C210" t="s">
        <v>19</v>
      </c>
      <c r="D210">
        <v>7</v>
      </c>
      <c r="E210" t="s">
        <v>14</v>
      </c>
      <c r="F210" s="2">
        <v>89.2</v>
      </c>
      <c r="G210" t="s">
        <v>25</v>
      </c>
      <c r="H210" s="7" t="str">
        <f t="shared" si="12"/>
        <v>Pass</v>
      </c>
      <c r="I210" s="7">
        <f t="shared" si="13"/>
        <v>2025</v>
      </c>
      <c r="J210" s="7">
        <f t="shared" si="14"/>
        <v>6</v>
      </c>
      <c r="K210" s="7">
        <f t="shared" si="15"/>
        <v>20</v>
      </c>
    </row>
    <row r="211" spans="1:11">
      <c r="A211" t="s">
        <v>33</v>
      </c>
      <c r="B211" s="4">
        <v>45827</v>
      </c>
      <c r="C211" t="s">
        <v>19</v>
      </c>
      <c r="D211">
        <v>5</v>
      </c>
      <c r="E211" t="s">
        <v>9</v>
      </c>
      <c r="F211" s="2">
        <v>98.8</v>
      </c>
      <c r="G211" t="s">
        <v>10</v>
      </c>
      <c r="H211" s="7" t="str">
        <f t="shared" si="12"/>
        <v>Pass</v>
      </c>
      <c r="I211" s="7">
        <f t="shared" si="13"/>
        <v>2025</v>
      </c>
      <c r="J211" s="7">
        <f t="shared" si="14"/>
        <v>6</v>
      </c>
      <c r="K211" s="7">
        <f t="shared" si="15"/>
        <v>19</v>
      </c>
    </row>
    <row r="212" spans="1:11">
      <c r="A212" t="s">
        <v>50</v>
      </c>
      <c r="B212" s="4">
        <v>45819</v>
      </c>
      <c r="C212" t="s">
        <v>16</v>
      </c>
      <c r="D212">
        <v>7</v>
      </c>
      <c r="E212" t="s">
        <v>14</v>
      </c>
      <c r="F212" s="2">
        <v>71.900000000000006</v>
      </c>
      <c r="G212" t="s">
        <v>25</v>
      </c>
      <c r="H212" s="7" t="str">
        <f t="shared" si="12"/>
        <v>Pass</v>
      </c>
      <c r="I212" s="7">
        <f t="shared" si="13"/>
        <v>2025</v>
      </c>
      <c r="J212" s="7">
        <f t="shared" si="14"/>
        <v>6</v>
      </c>
      <c r="K212" s="7">
        <f t="shared" si="15"/>
        <v>11</v>
      </c>
    </row>
    <row r="213" spans="1:11">
      <c r="A213" t="s">
        <v>100</v>
      </c>
      <c r="B213" s="4">
        <v>45818</v>
      </c>
      <c r="C213" t="s">
        <v>24</v>
      </c>
      <c r="D213">
        <v>3</v>
      </c>
      <c r="E213" t="s">
        <v>14</v>
      </c>
      <c r="F213" s="2">
        <v>86.3</v>
      </c>
      <c r="G213" t="s">
        <v>10</v>
      </c>
      <c r="H213" s="7" t="str">
        <f t="shared" si="12"/>
        <v>Pass</v>
      </c>
      <c r="I213" s="7">
        <f t="shared" si="13"/>
        <v>2025</v>
      </c>
      <c r="J213" s="7">
        <f t="shared" si="14"/>
        <v>6</v>
      </c>
      <c r="K213" s="7">
        <f t="shared" si="15"/>
        <v>10</v>
      </c>
    </row>
    <row r="214" spans="1:11">
      <c r="A214" t="s">
        <v>209</v>
      </c>
      <c r="B214" s="4">
        <v>45816</v>
      </c>
      <c r="C214" t="s">
        <v>24</v>
      </c>
      <c r="D214">
        <v>5</v>
      </c>
      <c r="E214" t="s">
        <v>12</v>
      </c>
      <c r="F214" s="2">
        <v>53.9</v>
      </c>
      <c r="G214" t="s">
        <v>25</v>
      </c>
      <c r="H214" s="7" t="str">
        <f t="shared" si="12"/>
        <v>Fail</v>
      </c>
      <c r="I214" s="7">
        <f t="shared" si="13"/>
        <v>2025</v>
      </c>
      <c r="J214" s="7">
        <f t="shared" si="14"/>
        <v>6</v>
      </c>
      <c r="K214" s="7">
        <f t="shared" si="15"/>
        <v>8</v>
      </c>
    </row>
    <row r="215" spans="1:11">
      <c r="A215" t="s">
        <v>220</v>
      </c>
      <c r="B215" s="4">
        <v>45815</v>
      </c>
      <c r="C215" t="s">
        <v>16</v>
      </c>
      <c r="D215">
        <v>7</v>
      </c>
      <c r="E215" t="s">
        <v>12</v>
      </c>
      <c r="F215" s="2">
        <v>92.4</v>
      </c>
      <c r="G215" t="s">
        <v>10</v>
      </c>
      <c r="H215" s="7" t="str">
        <f t="shared" si="12"/>
        <v>Pass</v>
      </c>
      <c r="I215" s="7">
        <f t="shared" si="13"/>
        <v>2025</v>
      </c>
      <c r="J215" s="7">
        <f t="shared" si="14"/>
        <v>6</v>
      </c>
      <c r="K215" s="7">
        <f t="shared" si="15"/>
        <v>7</v>
      </c>
    </row>
    <row r="216" spans="1:11">
      <c r="A216" t="s">
        <v>89</v>
      </c>
      <c r="B216" s="4">
        <v>45814</v>
      </c>
      <c r="C216" t="s">
        <v>16</v>
      </c>
      <c r="D216">
        <v>7</v>
      </c>
      <c r="E216" t="s">
        <v>14</v>
      </c>
      <c r="F216" s="2">
        <v>79</v>
      </c>
      <c r="G216" t="s">
        <v>27</v>
      </c>
      <c r="H216" s="7" t="str">
        <f t="shared" si="12"/>
        <v>Pass</v>
      </c>
      <c r="I216" s="7">
        <f t="shared" si="13"/>
        <v>2025</v>
      </c>
      <c r="J216" s="7">
        <f t="shared" si="14"/>
        <v>6</v>
      </c>
      <c r="K216" s="7">
        <f t="shared" si="15"/>
        <v>6</v>
      </c>
    </row>
    <row r="217" spans="1:11">
      <c r="A217" t="s">
        <v>74</v>
      </c>
      <c r="B217" s="4">
        <v>45813</v>
      </c>
      <c r="C217" t="s">
        <v>21</v>
      </c>
      <c r="D217">
        <v>5</v>
      </c>
      <c r="E217" t="s">
        <v>44</v>
      </c>
      <c r="F217" s="2">
        <v>85.1</v>
      </c>
      <c r="G217" t="s">
        <v>10</v>
      </c>
      <c r="H217" s="7" t="str">
        <f t="shared" si="12"/>
        <v>Pass</v>
      </c>
      <c r="I217" s="7">
        <f t="shared" si="13"/>
        <v>2025</v>
      </c>
      <c r="J217" s="7">
        <f t="shared" si="14"/>
        <v>6</v>
      </c>
      <c r="K217" s="7">
        <f t="shared" si="15"/>
        <v>5</v>
      </c>
    </row>
    <row r="218" spans="1:11">
      <c r="A218" t="s">
        <v>116</v>
      </c>
      <c r="B218" s="4">
        <v>45813</v>
      </c>
      <c r="C218" t="s">
        <v>21</v>
      </c>
      <c r="D218">
        <v>8</v>
      </c>
      <c r="E218" t="s">
        <v>44</v>
      </c>
      <c r="F218" s="2">
        <v>45.7</v>
      </c>
      <c r="G218" t="s">
        <v>25</v>
      </c>
      <c r="H218" s="7" t="str">
        <f t="shared" si="12"/>
        <v>Fail</v>
      </c>
      <c r="I218" s="7">
        <f t="shared" si="13"/>
        <v>2025</v>
      </c>
      <c r="J218" s="7">
        <f t="shared" si="14"/>
        <v>6</v>
      </c>
      <c r="K218" s="7">
        <f t="shared" si="15"/>
        <v>5</v>
      </c>
    </row>
    <row r="219" spans="1:11">
      <c r="A219" t="s">
        <v>156</v>
      </c>
      <c r="B219" s="4">
        <v>45812</v>
      </c>
      <c r="C219" t="s">
        <v>8</v>
      </c>
      <c r="D219">
        <v>7</v>
      </c>
      <c r="E219" t="s">
        <v>44</v>
      </c>
      <c r="F219" s="2">
        <v>67.8</v>
      </c>
      <c r="G219" t="s">
        <v>25</v>
      </c>
      <c r="H219" s="7" t="str">
        <f t="shared" si="12"/>
        <v>Fail</v>
      </c>
      <c r="I219" s="7">
        <f t="shared" si="13"/>
        <v>2025</v>
      </c>
      <c r="J219" s="7">
        <f t="shared" si="14"/>
        <v>6</v>
      </c>
      <c r="K219" s="7">
        <f t="shared" si="15"/>
        <v>4</v>
      </c>
    </row>
    <row r="220" spans="1:11">
      <c r="A220" t="s">
        <v>268</v>
      </c>
      <c r="B220" s="4">
        <v>45811</v>
      </c>
      <c r="C220" t="s">
        <v>16</v>
      </c>
      <c r="D220">
        <v>0</v>
      </c>
      <c r="E220" t="s">
        <v>12</v>
      </c>
      <c r="F220" s="2">
        <v>88</v>
      </c>
      <c r="G220" t="s">
        <v>25</v>
      </c>
      <c r="H220" s="7" t="str">
        <f t="shared" si="12"/>
        <v>Pass</v>
      </c>
      <c r="I220" s="7">
        <f t="shared" si="13"/>
        <v>2025</v>
      </c>
      <c r="J220" s="7">
        <f t="shared" si="14"/>
        <v>6</v>
      </c>
      <c r="K220" s="7">
        <f t="shared" si="15"/>
        <v>3</v>
      </c>
    </row>
    <row r="221" spans="1:11">
      <c r="A221" t="s">
        <v>219</v>
      </c>
      <c r="B221" s="4">
        <v>45811</v>
      </c>
      <c r="C221" t="s">
        <v>24</v>
      </c>
      <c r="D221">
        <v>0</v>
      </c>
      <c r="E221" t="s">
        <v>9</v>
      </c>
      <c r="F221" s="2">
        <v>72.900000000000006</v>
      </c>
      <c r="G221" t="s">
        <v>17</v>
      </c>
      <c r="H221" s="7" t="str">
        <f t="shared" si="12"/>
        <v>Pass</v>
      </c>
      <c r="I221" s="7">
        <f t="shared" si="13"/>
        <v>2025</v>
      </c>
      <c r="J221" s="7">
        <f t="shared" si="14"/>
        <v>6</v>
      </c>
      <c r="K221" s="7">
        <f t="shared" si="15"/>
        <v>3</v>
      </c>
    </row>
    <row r="222" spans="1:11">
      <c r="A222" t="s">
        <v>71</v>
      </c>
      <c r="B222" s="4">
        <v>45809</v>
      </c>
      <c r="C222" t="s">
        <v>21</v>
      </c>
      <c r="D222">
        <v>2</v>
      </c>
      <c r="E222" t="s">
        <v>14</v>
      </c>
      <c r="F222" s="2">
        <v>80.599999999999994</v>
      </c>
      <c r="G222" t="s">
        <v>10</v>
      </c>
      <c r="H222" s="7" t="str">
        <f t="shared" si="12"/>
        <v>Pass</v>
      </c>
      <c r="I222" s="7">
        <f t="shared" si="13"/>
        <v>2025</v>
      </c>
      <c r="J222" s="7">
        <f t="shared" si="14"/>
        <v>6</v>
      </c>
      <c r="K222" s="7">
        <f t="shared" si="15"/>
        <v>1</v>
      </c>
    </row>
    <row r="223" spans="1:11">
      <c r="A223" t="s">
        <v>133</v>
      </c>
      <c r="B223" s="4">
        <v>45808</v>
      </c>
      <c r="C223" t="s">
        <v>19</v>
      </c>
      <c r="D223">
        <v>13</v>
      </c>
      <c r="E223" t="s">
        <v>14</v>
      </c>
      <c r="F223" s="2">
        <v>81.2</v>
      </c>
      <c r="G223" t="s">
        <v>10</v>
      </c>
      <c r="H223" s="7" t="str">
        <f t="shared" si="12"/>
        <v>Pass</v>
      </c>
      <c r="I223" s="7">
        <f t="shared" si="13"/>
        <v>2025</v>
      </c>
      <c r="J223" s="7">
        <f t="shared" si="14"/>
        <v>5</v>
      </c>
      <c r="K223" s="7">
        <f t="shared" si="15"/>
        <v>31</v>
      </c>
    </row>
    <row r="224" spans="1:11">
      <c r="A224" t="s">
        <v>176</v>
      </c>
      <c r="B224" s="4">
        <v>45807</v>
      </c>
      <c r="C224" t="s">
        <v>36</v>
      </c>
      <c r="D224">
        <v>3</v>
      </c>
      <c r="E224" t="s">
        <v>12</v>
      </c>
      <c r="F224" s="2">
        <v>76.400000000000006</v>
      </c>
      <c r="G224" t="s">
        <v>27</v>
      </c>
      <c r="H224" s="7" t="str">
        <f t="shared" si="12"/>
        <v>Pass</v>
      </c>
      <c r="I224" s="7">
        <f t="shared" si="13"/>
        <v>2025</v>
      </c>
      <c r="J224" s="7">
        <f t="shared" si="14"/>
        <v>5</v>
      </c>
      <c r="K224" s="7">
        <f t="shared" si="15"/>
        <v>30</v>
      </c>
    </row>
    <row r="225" spans="1:11">
      <c r="A225" t="s">
        <v>52</v>
      </c>
      <c r="B225" s="4">
        <v>45807</v>
      </c>
      <c r="C225" t="s">
        <v>8</v>
      </c>
      <c r="D225">
        <v>9</v>
      </c>
      <c r="E225" t="s">
        <v>12</v>
      </c>
      <c r="F225" s="2">
        <v>71.900000000000006</v>
      </c>
      <c r="G225" t="s">
        <v>25</v>
      </c>
      <c r="H225" s="7" t="str">
        <f t="shared" si="12"/>
        <v>Pass</v>
      </c>
      <c r="I225" s="7">
        <f t="shared" si="13"/>
        <v>2025</v>
      </c>
      <c r="J225" s="7">
        <f t="shared" si="14"/>
        <v>5</v>
      </c>
      <c r="K225" s="7">
        <f t="shared" si="15"/>
        <v>30</v>
      </c>
    </row>
    <row r="226" spans="1:11">
      <c r="A226" t="s">
        <v>231</v>
      </c>
      <c r="B226" s="4">
        <v>45801</v>
      </c>
      <c r="C226" t="s">
        <v>21</v>
      </c>
      <c r="D226">
        <v>14</v>
      </c>
      <c r="E226" t="s">
        <v>36</v>
      </c>
      <c r="F226" s="2">
        <v>63.8</v>
      </c>
      <c r="G226" t="s">
        <v>17</v>
      </c>
      <c r="H226" s="7" t="str">
        <f t="shared" si="12"/>
        <v>Fail</v>
      </c>
      <c r="I226" s="7">
        <f t="shared" si="13"/>
        <v>2025</v>
      </c>
      <c r="J226" s="7">
        <f t="shared" si="14"/>
        <v>5</v>
      </c>
      <c r="K226" s="7">
        <f t="shared" si="15"/>
        <v>24</v>
      </c>
    </row>
    <row r="227" spans="1:11">
      <c r="A227" t="s">
        <v>203</v>
      </c>
      <c r="B227" s="4">
        <v>45797</v>
      </c>
      <c r="C227" t="s">
        <v>21</v>
      </c>
      <c r="D227">
        <v>4</v>
      </c>
      <c r="E227" t="s">
        <v>9</v>
      </c>
      <c r="F227" s="2">
        <v>66.3</v>
      </c>
      <c r="G227" t="s">
        <v>25</v>
      </c>
      <c r="H227" s="7" t="str">
        <f t="shared" si="12"/>
        <v>Fail</v>
      </c>
      <c r="I227" s="7">
        <f t="shared" si="13"/>
        <v>2025</v>
      </c>
      <c r="J227" s="7">
        <f t="shared" si="14"/>
        <v>5</v>
      </c>
      <c r="K227" s="7">
        <f t="shared" si="15"/>
        <v>20</v>
      </c>
    </row>
    <row r="228" spans="1:11">
      <c r="A228" t="s">
        <v>291</v>
      </c>
      <c r="B228" s="4">
        <v>45795</v>
      </c>
      <c r="C228" t="s">
        <v>8</v>
      </c>
      <c r="D228">
        <v>15</v>
      </c>
      <c r="E228" t="s">
        <v>12</v>
      </c>
      <c r="F228" s="2">
        <v>80.3</v>
      </c>
      <c r="G228" t="s">
        <v>10</v>
      </c>
      <c r="H228" s="7" t="str">
        <f t="shared" si="12"/>
        <v>Pass</v>
      </c>
      <c r="I228" s="7">
        <f t="shared" si="13"/>
        <v>2025</v>
      </c>
      <c r="J228" s="7">
        <f t="shared" si="14"/>
        <v>5</v>
      </c>
      <c r="K228" s="7">
        <f t="shared" si="15"/>
        <v>18</v>
      </c>
    </row>
    <row r="229" spans="1:11">
      <c r="A229" t="s">
        <v>273</v>
      </c>
      <c r="B229" s="4">
        <v>45795</v>
      </c>
      <c r="C229" t="s">
        <v>11</v>
      </c>
      <c r="D229">
        <v>0</v>
      </c>
      <c r="E229" t="s">
        <v>12</v>
      </c>
      <c r="F229" s="2">
        <v>55.6</v>
      </c>
      <c r="G229" t="s">
        <v>17</v>
      </c>
      <c r="H229" s="7" t="str">
        <f t="shared" si="12"/>
        <v>Fail</v>
      </c>
      <c r="I229" s="7">
        <f t="shared" si="13"/>
        <v>2025</v>
      </c>
      <c r="J229" s="7">
        <f t="shared" si="14"/>
        <v>5</v>
      </c>
      <c r="K229" s="7">
        <f t="shared" si="15"/>
        <v>18</v>
      </c>
    </row>
    <row r="230" spans="1:11">
      <c r="A230" t="s">
        <v>119</v>
      </c>
      <c r="B230" s="4">
        <v>45791</v>
      </c>
      <c r="C230" t="s">
        <v>8</v>
      </c>
      <c r="D230">
        <v>14</v>
      </c>
      <c r="E230" t="s">
        <v>14</v>
      </c>
      <c r="F230" s="2">
        <v>86.3</v>
      </c>
      <c r="G230" t="s">
        <v>10</v>
      </c>
      <c r="H230" s="7" t="str">
        <f t="shared" si="12"/>
        <v>Pass</v>
      </c>
      <c r="I230" s="7">
        <f t="shared" si="13"/>
        <v>2025</v>
      </c>
      <c r="J230" s="7">
        <f t="shared" si="14"/>
        <v>5</v>
      </c>
      <c r="K230" s="7">
        <f t="shared" si="15"/>
        <v>14</v>
      </c>
    </row>
    <row r="231" spans="1:11">
      <c r="A231" t="s">
        <v>159</v>
      </c>
      <c r="B231" s="4">
        <v>45786</v>
      </c>
      <c r="C231" t="s">
        <v>21</v>
      </c>
      <c r="D231">
        <v>15</v>
      </c>
      <c r="E231" t="s">
        <v>14</v>
      </c>
      <c r="F231" s="2">
        <v>80.900000000000006</v>
      </c>
      <c r="G231" t="s">
        <v>10</v>
      </c>
      <c r="H231" s="7" t="str">
        <f t="shared" si="12"/>
        <v>Pass</v>
      </c>
      <c r="I231" s="7">
        <f t="shared" si="13"/>
        <v>2025</v>
      </c>
      <c r="J231" s="7">
        <f t="shared" si="14"/>
        <v>5</v>
      </c>
      <c r="K231" s="7">
        <f t="shared" si="15"/>
        <v>9</v>
      </c>
    </row>
    <row r="232" spans="1:11">
      <c r="A232" t="s">
        <v>126</v>
      </c>
      <c r="B232" s="4">
        <v>45784</v>
      </c>
      <c r="C232" t="s">
        <v>24</v>
      </c>
      <c r="D232">
        <v>2</v>
      </c>
      <c r="E232" t="s">
        <v>36</v>
      </c>
      <c r="F232" s="2">
        <v>50.8</v>
      </c>
      <c r="G232" t="s">
        <v>25</v>
      </c>
      <c r="H232" s="7" t="str">
        <f t="shared" si="12"/>
        <v>Fail</v>
      </c>
      <c r="I232" s="7">
        <f t="shared" si="13"/>
        <v>2025</v>
      </c>
      <c r="J232" s="7">
        <f t="shared" si="14"/>
        <v>5</v>
      </c>
      <c r="K232" s="7">
        <f t="shared" si="15"/>
        <v>7</v>
      </c>
    </row>
    <row r="233" spans="1:11">
      <c r="A233" t="s">
        <v>217</v>
      </c>
      <c r="B233" s="4">
        <v>45783</v>
      </c>
      <c r="C233" t="s">
        <v>8</v>
      </c>
      <c r="D233">
        <v>0</v>
      </c>
      <c r="E233" t="s">
        <v>36</v>
      </c>
      <c r="F233" s="2">
        <v>59.7</v>
      </c>
      <c r="G233" t="s">
        <v>17</v>
      </c>
      <c r="H233" s="7" t="str">
        <f t="shared" si="12"/>
        <v>Fail</v>
      </c>
      <c r="I233" s="7">
        <f t="shared" si="13"/>
        <v>2025</v>
      </c>
      <c r="J233" s="7">
        <f t="shared" si="14"/>
        <v>5</v>
      </c>
      <c r="K233" s="7">
        <f t="shared" si="15"/>
        <v>6</v>
      </c>
    </row>
    <row r="234" spans="1:11">
      <c r="A234" t="s">
        <v>111</v>
      </c>
      <c r="B234" s="4">
        <v>45780</v>
      </c>
      <c r="C234" t="s">
        <v>21</v>
      </c>
      <c r="D234">
        <v>5</v>
      </c>
      <c r="E234" t="s">
        <v>12</v>
      </c>
      <c r="F234" s="2">
        <v>42.5</v>
      </c>
      <c r="G234" t="s">
        <v>17</v>
      </c>
      <c r="H234" s="7" t="str">
        <f t="shared" si="12"/>
        <v>Fail</v>
      </c>
      <c r="I234" s="7">
        <f t="shared" si="13"/>
        <v>2025</v>
      </c>
      <c r="J234" s="7">
        <f t="shared" si="14"/>
        <v>5</v>
      </c>
      <c r="K234" s="7">
        <f t="shared" si="15"/>
        <v>3</v>
      </c>
    </row>
    <row r="235" spans="1:11">
      <c r="A235" t="s">
        <v>243</v>
      </c>
      <c r="B235" s="4">
        <v>45777</v>
      </c>
      <c r="C235" t="s">
        <v>16</v>
      </c>
      <c r="D235">
        <v>15</v>
      </c>
      <c r="E235" t="s">
        <v>14</v>
      </c>
      <c r="F235" s="2">
        <v>58.1</v>
      </c>
      <c r="G235" t="s">
        <v>27</v>
      </c>
      <c r="H235" s="7" t="str">
        <f t="shared" si="12"/>
        <v>Fail</v>
      </c>
      <c r="I235" s="7">
        <f t="shared" si="13"/>
        <v>2025</v>
      </c>
      <c r="J235" s="7">
        <f t="shared" si="14"/>
        <v>4</v>
      </c>
      <c r="K235" s="7">
        <f t="shared" si="15"/>
        <v>30</v>
      </c>
    </row>
    <row r="236" spans="1:11">
      <c r="A236" t="s">
        <v>321</v>
      </c>
      <c r="B236" s="4">
        <v>45777</v>
      </c>
      <c r="C236" t="s">
        <v>11</v>
      </c>
      <c r="D236">
        <v>0</v>
      </c>
      <c r="E236" t="s">
        <v>14</v>
      </c>
      <c r="F236" s="2">
        <v>54.9</v>
      </c>
      <c r="G236" t="s">
        <v>27</v>
      </c>
      <c r="H236" s="7" t="str">
        <f t="shared" si="12"/>
        <v>Fail</v>
      </c>
      <c r="I236" s="7">
        <f t="shared" si="13"/>
        <v>2025</v>
      </c>
      <c r="J236" s="7">
        <f t="shared" si="14"/>
        <v>4</v>
      </c>
      <c r="K236" s="7">
        <f t="shared" si="15"/>
        <v>30</v>
      </c>
    </row>
    <row r="237" spans="1:11">
      <c r="A237" t="s">
        <v>266</v>
      </c>
      <c r="B237" s="4">
        <v>45773</v>
      </c>
      <c r="C237" t="s">
        <v>8</v>
      </c>
      <c r="D237">
        <v>3</v>
      </c>
      <c r="E237" t="s">
        <v>14</v>
      </c>
      <c r="F237" s="2">
        <v>60.4</v>
      </c>
      <c r="G237" t="s">
        <v>25</v>
      </c>
      <c r="H237" s="7" t="str">
        <f t="shared" si="12"/>
        <v>Fail</v>
      </c>
      <c r="I237" s="7">
        <f t="shared" si="13"/>
        <v>2025</v>
      </c>
      <c r="J237" s="7">
        <f t="shared" si="14"/>
        <v>4</v>
      </c>
      <c r="K237" s="7">
        <f t="shared" si="15"/>
        <v>26</v>
      </c>
    </row>
    <row r="238" spans="1:11">
      <c r="A238" t="s">
        <v>280</v>
      </c>
      <c r="B238" s="4">
        <v>45773</v>
      </c>
      <c r="C238" t="s">
        <v>24</v>
      </c>
      <c r="D238">
        <v>3</v>
      </c>
      <c r="E238" t="s">
        <v>12</v>
      </c>
      <c r="F238" s="2">
        <v>59.2</v>
      </c>
      <c r="G238" t="s">
        <v>17</v>
      </c>
      <c r="H238" s="7" t="str">
        <f t="shared" si="12"/>
        <v>Fail</v>
      </c>
      <c r="I238" s="7">
        <f t="shared" si="13"/>
        <v>2025</v>
      </c>
      <c r="J238" s="7">
        <f t="shared" si="14"/>
        <v>4</v>
      </c>
      <c r="K238" s="7">
        <f t="shared" si="15"/>
        <v>26</v>
      </c>
    </row>
    <row r="239" spans="1:11">
      <c r="A239" t="s">
        <v>213</v>
      </c>
      <c r="B239" s="4">
        <v>45767</v>
      </c>
      <c r="C239" t="s">
        <v>19</v>
      </c>
      <c r="D239">
        <v>12</v>
      </c>
      <c r="E239" t="s">
        <v>12</v>
      </c>
      <c r="F239" s="2">
        <v>73.7</v>
      </c>
      <c r="G239" t="s">
        <v>27</v>
      </c>
      <c r="H239" s="7" t="str">
        <f t="shared" si="12"/>
        <v>Pass</v>
      </c>
      <c r="I239" s="7">
        <f t="shared" si="13"/>
        <v>2025</v>
      </c>
      <c r="J239" s="7">
        <f t="shared" si="14"/>
        <v>4</v>
      </c>
      <c r="K239" s="7">
        <f t="shared" si="15"/>
        <v>20</v>
      </c>
    </row>
    <row r="240" spans="1:11">
      <c r="A240" t="s">
        <v>20</v>
      </c>
      <c r="B240" s="4">
        <v>45757</v>
      </c>
      <c r="C240" t="s">
        <v>21</v>
      </c>
      <c r="D240">
        <v>1</v>
      </c>
      <c r="E240" t="s">
        <v>36</v>
      </c>
      <c r="F240" s="2">
        <v>57</v>
      </c>
      <c r="G240" t="s">
        <v>17</v>
      </c>
      <c r="H240" s="7" t="str">
        <f t="shared" si="12"/>
        <v>Fail</v>
      </c>
      <c r="I240" s="7">
        <f t="shared" si="13"/>
        <v>2025</v>
      </c>
      <c r="J240" s="7">
        <f t="shared" si="14"/>
        <v>4</v>
      </c>
      <c r="K240" s="7">
        <f t="shared" si="15"/>
        <v>10</v>
      </c>
    </row>
    <row r="241" spans="1:11">
      <c r="A241" t="s">
        <v>298</v>
      </c>
      <c r="B241" s="4">
        <v>45753</v>
      </c>
      <c r="C241" t="s">
        <v>8</v>
      </c>
      <c r="D241">
        <v>14</v>
      </c>
      <c r="E241" t="s">
        <v>14</v>
      </c>
      <c r="F241" s="2">
        <v>77.599999999999994</v>
      </c>
      <c r="G241" t="s">
        <v>27</v>
      </c>
      <c r="H241" s="7" t="str">
        <f t="shared" si="12"/>
        <v>Pass</v>
      </c>
      <c r="I241" s="7">
        <f t="shared" si="13"/>
        <v>2025</v>
      </c>
      <c r="J241" s="7">
        <f t="shared" si="14"/>
        <v>4</v>
      </c>
      <c r="K241" s="7">
        <f t="shared" si="15"/>
        <v>6</v>
      </c>
    </row>
    <row r="242" spans="1:11">
      <c r="A242" t="s">
        <v>70</v>
      </c>
      <c r="B242" s="4">
        <v>45753</v>
      </c>
      <c r="C242" t="s">
        <v>11</v>
      </c>
      <c r="D242">
        <v>14</v>
      </c>
      <c r="E242" t="s">
        <v>14</v>
      </c>
      <c r="F242" s="2">
        <v>52.4</v>
      </c>
      <c r="G242" t="s">
        <v>27</v>
      </c>
      <c r="H242" s="7" t="str">
        <f t="shared" si="12"/>
        <v>Fail</v>
      </c>
      <c r="I242" s="7">
        <f t="shared" si="13"/>
        <v>2025</v>
      </c>
      <c r="J242" s="7">
        <f t="shared" si="14"/>
        <v>4</v>
      </c>
      <c r="K242" s="7">
        <f t="shared" si="15"/>
        <v>6</v>
      </c>
    </row>
    <row r="243" spans="1:11">
      <c r="A243" t="s">
        <v>135</v>
      </c>
      <c r="B243" s="4">
        <v>45748</v>
      </c>
      <c r="C243" t="s">
        <v>24</v>
      </c>
      <c r="D243">
        <v>8</v>
      </c>
      <c r="E243" t="s">
        <v>14</v>
      </c>
      <c r="F243" s="2">
        <v>84.8</v>
      </c>
      <c r="G243" t="s">
        <v>10</v>
      </c>
      <c r="H243" s="7" t="str">
        <f t="shared" si="12"/>
        <v>Pass</v>
      </c>
      <c r="I243" s="7">
        <f t="shared" si="13"/>
        <v>2025</v>
      </c>
      <c r="J243" s="7">
        <f t="shared" si="14"/>
        <v>4</v>
      </c>
      <c r="K243" s="7">
        <f t="shared" si="15"/>
        <v>1</v>
      </c>
    </row>
    <row r="244" spans="1:11">
      <c r="A244" t="s">
        <v>139</v>
      </c>
      <c r="B244" s="4">
        <v>45746</v>
      </c>
      <c r="C244" t="s">
        <v>36</v>
      </c>
      <c r="D244">
        <v>3</v>
      </c>
      <c r="E244" t="s">
        <v>12</v>
      </c>
      <c r="F244" s="2">
        <v>74.3</v>
      </c>
      <c r="G244" t="s">
        <v>17</v>
      </c>
      <c r="H244" s="7" t="str">
        <f t="shared" si="12"/>
        <v>Pass</v>
      </c>
      <c r="I244" s="7">
        <f t="shared" si="13"/>
        <v>2025</v>
      </c>
      <c r="J244" s="7">
        <f t="shared" si="14"/>
        <v>3</v>
      </c>
      <c r="K244" s="7">
        <f t="shared" si="15"/>
        <v>30</v>
      </c>
    </row>
    <row r="245" spans="1:11">
      <c r="A245" t="s">
        <v>184</v>
      </c>
      <c r="B245" s="4">
        <v>45746</v>
      </c>
      <c r="C245" t="s">
        <v>36</v>
      </c>
      <c r="D245">
        <v>8</v>
      </c>
      <c r="E245" t="s">
        <v>44</v>
      </c>
      <c r="F245" s="2">
        <v>74</v>
      </c>
      <c r="G245" t="s">
        <v>10</v>
      </c>
      <c r="H245" s="7" t="str">
        <f t="shared" si="12"/>
        <v>Pass</v>
      </c>
      <c r="I245" s="7">
        <f t="shared" si="13"/>
        <v>2025</v>
      </c>
      <c r="J245" s="7">
        <f t="shared" si="14"/>
        <v>3</v>
      </c>
      <c r="K245" s="7">
        <f t="shared" si="15"/>
        <v>30</v>
      </c>
    </row>
    <row r="246" spans="1:11">
      <c r="A246" t="s">
        <v>320</v>
      </c>
      <c r="B246" s="4">
        <v>45745</v>
      </c>
      <c r="C246" t="s">
        <v>24</v>
      </c>
      <c r="D246">
        <v>11</v>
      </c>
      <c r="E246" t="s">
        <v>14</v>
      </c>
      <c r="F246" s="2">
        <v>83.2</v>
      </c>
      <c r="G246" t="s">
        <v>10</v>
      </c>
      <c r="H246" s="7" t="str">
        <f t="shared" si="12"/>
        <v>Pass</v>
      </c>
      <c r="I246" s="7">
        <f t="shared" si="13"/>
        <v>2025</v>
      </c>
      <c r="J246" s="7">
        <f t="shared" si="14"/>
        <v>3</v>
      </c>
      <c r="K246" s="7">
        <f t="shared" si="15"/>
        <v>29</v>
      </c>
    </row>
    <row r="247" spans="1:11">
      <c r="A247" t="s">
        <v>239</v>
      </c>
      <c r="B247" s="4">
        <v>45744</v>
      </c>
      <c r="C247" t="s">
        <v>16</v>
      </c>
      <c r="D247">
        <v>12</v>
      </c>
      <c r="E247" t="s">
        <v>12</v>
      </c>
      <c r="F247" s="2">
        <v>74.900000000000006</v>
      </c>
      <c r="G247" t="s">
        <v>25</v>
      </c>
      <c r="H247" s="7" t="str">
        <f t="shared" si="12"/>
        <v>Pass</v>
      </c>
      <c r="I247" s="7">
        <f t="shared" si="13"/>
        <v>2025</v>
      </c>
      <c r="J247" s="7">
        <f t="shared" si="14"/>
        <v>3</v>
      </c>
      <c r="K247" s="7">
        <f t="shared" si="15"/>
        <v>28</v>
      </c>
    </row>
    <row r="248" spans="1:11">
      <c r="A248" t="s">
        <v>34</v>
      </c>
      <c r="B248" s="4">
        <v>45743</v>
      </c>
      <c r="C248" t="s">
        <v>19</v>
      </c>
      <c r="D248">
        <v>2</v>
      </c>
      <c r="E248" t="s">
        <v>14</v>
      </c>
      <c r="F248" s="2">
        <v>76.400000000000006</v>
      </c>
      <c r="G248" t="s">
        <v>17</v>
      </c>
      <c r="H248" s="7" t="str">
        <f t="shared" si="12"/>
        <v>Pass</v>
      </c>
      <c r="I248" s="7">
        <f t="shared" si="13"/>
        <v>2025</v>
      </c>
      <c r="J248" s="7">
        <f t="shared" si="14"/>
        <v>3</v>
      </c>
      <c r="K248" s="7">
        <f t="shared" si="15"/>
        <v>27</v>
      </c>
    </row>
    <row r="249" spans="1:11">
      <c r="A249" t="s">
        <v>177</v>
      </c>
      <c r="B249" s="4">
        <v>45739</v>
      </c>
      <c r="C249" t="s">
        <v>19</v>
      </c>
      <c r="D249">
        <v>4</v>
      </c>
      <c r="E249" t="s">
        <v>9</v>
      </c>
      <c r="F249" s="2">
        <v>92.2</v>
      </c>
      <c r="G249" t="s">
        <v>10</v>
      </c>
      <c r="H249" s="7" t="str">
        <f t="shared" si="12"/>
        <v>Pass</v>
      </c>
      <c r="I249" s="7">
        <f t="shared" si="13"/>
        <v>2025</v>
      </c>
      <c r="J249" s="7">
        <f t="shared" si="14"/>
        <v>3</v>
      </c>
      <c r="K249" s="7">
        <f t="shared" si="15"/>
        <v>23</v>
      </c>
    </row>
    <row r="250" spans="1:11">
      <c r="A250" t="s">
        <v>197</v>
      </c>
      <c r="B250" s="4">
        <v>45738</v>
      </c>
      <c r="C250" t="s">
        <v>24</v>
      </c>
      <c r="D250">
        <v>7</v>
      </c>
      <c r="E250" t="s">
        <v>9</v>
      </c>
      <c r="F250" s="2">
        <v>46.8</v>
      </c>
      <c r="G250" t="s">
        <v>27</v>
      </c>
      <c r="H250" s="7" t="str">
        <f t="shared" si="12"/>
        <v>Fail</v>
      </c>
      <c r="I250" s="7">
        <f t="shared" si="13"/>
        <v>2025</v>
      </c>
      <c r="J250" s="7">
        <f t="shared" si="14"/>
        <v>3</v>
      </c>
      <c r="K250" s="7">
        <f t="shared" si="15"/>
        <v>22</v>
      </c>
    </row>
    <row r="251" spans="1:11">
      <c r="A251" t="s">
        <v>293</v>
      </c>
      <c r="B251" s="4">
        <v>45737</v>
      </c>
      <c r="C251" t="s">
        <v>21</v>
      </c>
      <c r="D251">
        <v>6</v>
      </c>
      <c r="E251" t="s">
        <v>36</v>
      </c>
      <c r="F251" s="2">
        <v>78.3</v>
      </c>
      <c r="G251" t="s">
        <v>17</v>
      </c>
      <c r="H251" s="7" t="str">
        <f t="shared" si="12"/>
        <v>Pass</v>
      </c>
      <c r="I251" s="7">
        <f t="shared" si="13"/>
        <v>2025</v>
      </c>
      <c r="J251" s="7">
        <f t="shared" si="14"/>
        <v>3</v>
      </c>
      <c r="K251" s="7">
        <f t="shared" si="15"/>
        <v>21</v>
      </c>
    </row>
    <row r="252" spans="1:11">
      <c r="A252" t="s">
        <v>48</v>
      </c>
      <c r="B252" s="4">
        <v>45736</v>
      </c>
      <c r="C252" t="s">
        <v>8</v>
      </c>
      <c r="D252">
        <v>12</v>
      </c>
      <c r="E252" t="s">
        <v>9</v>
      </c>
      <c r="F252" s="2">
        <v>74</v>
      </c>
      <c r="G252" t="s">
        <v>10</v>
      </c>
      <c r="H252" s="7" t="str">
        <f t="shared" si="12"/>
        <v>Pass</v>
      </c>
      <c r="I252" s="7">
        <f t="shared" si="13"/>
        <v>2025</v>
      </c>
      <c r="J252" s="7">
        <f t="shared" si="14"/>
        <v>3</v>
      </c>
      <c r="K252" s="7">
        <f t="shared" si="15"/>
        <v>20</v>
      </c>
    </row>
    <row r="253" spans="1:11">
      <c r="A253" t="s">
        <v>162</v>
      </c>
      <c r="B253" s="4">
        <v>45733</v>
      </c>
      <c r="C253" t="s">
        <v>11</v>
      </c>
      <c r="D253">
        <v>5</v>
      </c>
      <c r="E253" t="s">
        <v>12</v>
      </c>
      <c r="F253" s="2">
        <v>54</v>
      </c>
      <c r="G253" t="s">
        <v>27</v>
      </c>
      <c r="H253" s="7" t="str">
        <f t="shared" si="12"/>
        <v>Fail</v>
      </c>
      <c r="I253" s="7">
        <f t="shared" si="13"/>
        <v>2025</v>
      </c>
      <c r="J253" s="7">
        <f t="shared" si="14"/>
        <v>3</v>
      </c>
      <c r="K253" s="7">
        <f t="shared" si="15"/>
        <v>17</v>
      </c>
    </row>
    <row r="254" spans="1:11">
      <c r="A254" t="s">
        <v>234</v>
      </c>
      <c r="B254" s="4">
        <v>45728</v>
      </c>
      <c r="C254" t="s">
        <v>8</v>
      </c>
      <c r="D254">
        <v>14</v>
      </c>
      <c r="E254" t="s">
        <v>36</v>
      </c>
      <c r="F254" s="2">
        <v>100</v>
      </c>
      <c r="G254" t="s">
        <v>25</v>
      </c>
      <c r="H254" s="7" t="str">
        <f t="shared" si="12"/>
        <v>Pass</v>
      </c>
      <c r="I254" s="7">
        <f t="shared" si="13"/>
        <v>2025</v>
      </c>
      <c r="J254" s="7">
        <f t="shared" si="14"/>
        <v>3</v>
      </c>
      <c r="K254" s="7">
        <f t="shared" si="15"/>
        <v>12</v>
      </c>
    </row>
    <row r="255" spans="1:11">
      <c r="A255" t="s">
        <v>60</v>
      </c>
      <c r="B255" s="4">
        <v>45725</v>
      </c>
      <c r="C255" t="s">
        <v>16</v>
      </c>
      <c r="D255">
        <v>5</v>
      </c>
      <c r="E255" t="s">
        <v>36</v>
      </c>
      <c r="F255" s="2">
        <v>72.400000000000006</v>
      </c>
      <c r="G255" t="s">
        <v>17</v>
      </c>
      <c r="H255" s="7" t="str">
        <f t="shared" si="12"/>
        <v>Pass</v>
      </c>
      <c r="I255" s="7">
        <f t="shared" si="13"/>
        <v>2025</v>
      </c>
      <c r="J255" s="7">
        <f t="shared" si="14"/>
        <v>3</v>
      </c>
      <c r="K255" s="7">
        <f t="shared" si="15"/>
        <v>9</v>
      </c>
    </row>
    <row r="256" spans="1:11">
      <c r="A256" t="s">
        <v>101</v>
      </c>
      <c r="B256" s="4">
        <v>45724</v>
      </c>
      <c r="C256" t="s">
        <v>19</v>
      </c>
      <c r="D256">
        <v>3</v>
      </c>
      <c r="E256" t="s">
        <v>14</v>
      </c>
      <c r="F256" s="2">
        <v>85.7</v>
      </c>
      <c r="G256" t="s">
        <v>10</v>
      </c>
      <c r="H256" s="7" t="str">
        <f t="shared" si="12"/>
        <v>Pass</v>
      </c>
      <c r="I256" s="7">
        <f t="shared" si="13"/>
        <v>2025</v>
      </c>
      <c r="J256" s="7">
        <f t="shared" si="14"/>
        <v>3</v>
      </c>
      <c r="K256" s="7">
        <f t="shared" si="15"/>
        <v>8</v>
      </c>
    </row>
    <row r="257" spans="1:11">
      <c r="A257" t="s">
        <v>171</v>
      </c>
      <c r="B257" s="4">
        <v>45724</v>
      </c>
      <c r="C257" t="s">
        <v>8</v>
      </c>
      <c r="D257">
        <v>9</v>
      </c>
      <c r="E257" t="s">
        <v>12</v>
      </c>
      <c r="F257" s="2">
        <v>57</v>
      </c>
      <c r="G257" t="s">
        <v>27</v>
      </c>
      <c r="H257" s="7" t="str">
        <f t="shared" si="12"/>
        <v>Fail</v>
      </c>
      <c r="I257" s="7">
        <f t="shared" si="13"/>
        <v>2025</v>
      </c>
      <c r="J257" s="7">
        <f t="shared" si="14"/>
        <v>3</v>
      </c>
      <c r="K257" s="7">
        <f t="shared" si="15"/>
        <v>8</v>
      </c>
    </row>
    <row r="258" spans="1:11">
      <c r="A258" t="s">
        <v>131</v>
      </c>
      <c r="B258" s="4">
        <v>45721</v>
      </c>
      <c r="C258" t="s">
        <v>21</v>
      </c>
      <c r="D258">
        <v>5</v>
      </c>
      <c r="E258" t="s">
        <v>14</v>
      </c>
      <c r="F258" s="2">
        <v>75.400000000000006</v>
      </c>
      <c r="G258" t="s">
        <v>25</v>
      </c>
      <c r="H258" s="7" t="str">
        <f t="shared" ref="H258:H294" si="16">IF(F258&gt;=70,"Pass","Fail")</f>
        <v>Pass</v>
      </c>
      <c r="I258" s="7">
        <f t="shared" ref="I258:I294" si="17">YEAR(B258)</f>
        <v>2025</v>
      </c>
      <c r="J258" s="7">
        <f t="shared" ref="J258:J294" si="18">MONTH(B258)</f>
        <v>3</v>
      </c>
      <c r="K258" s="7">
        <f t="shared" ref="K258:K294" si="19">DAY(B258)</f>
        <v>5</v>
      </c>
    </row>
    <row r="259" spans="1:11">
      <c r="A259" t="s">
        <v>318</v>
      </c>
      <c r="B259" s="4">
        <v>45720</v>
      </c>
      <c r="C259" t="s">
        <v>11</v>
      </c>
      <c r="D259">
        <v>12</v>
      </c>
      <c r="E259" t="s">
        <v>44</v>
      </c>
      <c r="F259" s="2">
        <v>86.1</v>
      </c>
      <c r="G259" t="s">
        <v>10</v>
      </c>
      <c r="H259" s="7" t="str">
        <f t="shared" si="16"/>
        <v>Pass</v>
      </c>
      <c r="I259" s="7">
        <f t="shared" si="17"/>
        <v>2025</v>
      </c>
      <c r="J259" s="7">
        <f t="shared" si="18"/>
        <v>3</v>
      </c>
      <c r="K259" s="7">
        <f t="shared" si="19"/>
        <v>4</v>
      </c>
    </row>
    <row r="260" spans="1:11">
      <c r="A260" t="s">
        <v>274</v>
      </c>
      <c r="B260" s="4">
        <v>45719</v>
      </c>
      <c r="C260" t="s">
        <v>21</v>
      </c>
      <c r="D260">
        <v>11</v>
      </c>
      <c r="E260" t="s">
        <v>14</v>
      </c>
      <c r="F260" s="2">
        <v>74</v>
      </c>
      <c r="G260" t="s">
        <v>25</v>
      </c>
      <c r="H260" s="7" t="str">
        <f t="shared" si="16"/>
        <v>Pass</v>
      </c>
      <c r="I260" s="7">
        <f t="shared" si="17"/>
        <v>2025</v>
      </c>
      <c r="J260" s="7">
        <f t="shared" si="18"/>
        <v>3</v>
      </c>
      <c r="K260" s="7">
        <f t="shared" si="19"/>
        <v>3</v>
      </c>
    </row>
    <row r="261" spans="1:11">
      <c r="A261" t="s">
        <v>206</v>
      </c>
      <c r="B261" s="4">
        <v>45718</v>
      </c>
      <c r="C261" t="s">
        <v>8</v>
      </c>
      <c r="D261">
        <v>11</v>
      </c>
      <c r="E261" t="s">
        <v>14</v>
      </c>
      <c r="F261" s="2">
        <v>77.900000000000006</v>
      </c>
      <c r="G261" t="s">
        <v>25</v>
      </c>
      <c r="H261" s="7" t="str">
        <f t="shared" si="16"/>
        <v>Pass</v>
      </c>
      <c r="I261" s="7">
        <f t="shared" si="17"/>
        <v>2025</v>
      </c>
      <c r="J261" s="7">
        <f t="shared" si="18"/>
        <v>3</v>
      </c>
      <c r="K261" s="7">
        <f t="shared" si="19"/>
        <v>2</v>
      </c>
    </row>
    <row r="262" spans="1:11">
      <c r="A262" t="s">
        <v>224</v>
      </c>
      <c r="B262" s="4">
        <v>45718</v>
      </c>
      <c r="C262" t="s">
        <v>11</v>
      </c>
      <c r="D262">
        <v>12</v>
      </c>
      <c r="E262" t="s">
        <v>12</v>
      </c>
      <c r="F262" s="2">
        <v>69.5</v>
      </c>
      <c r="G262" t="s">
        <v>25</v>
      </c>
      <c r="H262" s="7" t="str">
        <f t="shared" si="16"/>
        <v>Fail</v>
      </c>
      <c r="I262" s="7">
        <f t="shared" si="17"/>
        <v>2025</v>
      </c>
      <c r="J262" s="7">
        <f t="shared" si="18"/>
        <v>3</v>
      </c>
      <c r="K262" s="7">
        <f t="shared" si="19"/>
        <v>2</v>
      </c>
    </row>
    <row r="263" spans="1:11">
      <c r="A263" t="s">
        <v>97</v>
      </c>
      <c r="B263" s="4">
        <v>45714</v>
      </c>
      <c r="C263" t="s">
        <v>21</v>
      </c>
      <c r="D263">
        <v>2</v>
      </c>
      <c r="E263" t="s">
        <v>14</v>
      </c>
      <c r="F263" s="2">
        <v>83.7</v>
      </c>
      <c r="G263" t="s">
        <v>10</v>
      </c>
      <c r="H263" s="7" t="str">
        <f t="shared" si="16"/>
        <v>Pass</v>
      </c>
      <c r="I263" s="7">
        <f t="shared" si="17"/>
        <v>2025</v>
      </c>
      <c r="J263" s="7">
        <f t="shared" si="18"/>
        <v>2</v>
      </c>
      <c r="K263" s="7">
        <f t="shared" si="19"/>
        <v>26</v>
      </c>
    </row>
    <row r="264" spans="1:11">
      <c r="A264" t="s">
        <v>237</v>
      </c>
      <c r="B264" s="4">
        <v>45712</v>
      </c>
      <c r="C264" t="s">
        <v>21</v>
      </c>
      <c r="D264">
        <v>14</v>
      </c>
      <c r="E264" t="s">
        <v>14</v>
      </c>
      <c r="F264" s="2">
        <v>89.6</v>
      </c>
      <c r="G264" t="s">
        <v>10</v>
      </c>
      <c r="H264" s="7" t="str">
        <f t="shared" si="16"/>
        <v>Pass</v>
      </c>
      <c r="I264" s="7">
        <f t="shared" si="17"/>
        <v>2025</v>
      </c>
      <c r="J264" s="7">
        <f t="shared" si="18"/>
        <v>2</v>
      </c>
      <c r="K264" s="7">
        <f t="shared" si="19"/>
        <v>24</v>
      </c>
    </row>
    <row r="265" spans="1:11">
      <c r="A265" t="s">
        <v>286</v>
      </c>
      <c r="B265" s="4">
        <v>45709</v>
      </c>
      <c r="C265" t="s">
        <v>11</v>
      </c>
      <c r="D265">
        <v>14</v>
      </c>
      <c r="E265" t="s">
        <v>14</v>
      </c>
      <c r="F265" s="2">
        <v>100</v>
      </c>
      <c r="G265" t="s">
        <v>10</v>
      </c>
      <c r="H265" s="7" t="str">
        <f t="shared" si="16"/>
        <v>Pass</v>
      </c>
      <c r="I265" s="7">
        <f t="shared" si="17"/>
        <v>2025</v>
      </c>
      <c r="J265" s="7">
        <f t="shared" si="18"/>
        <v>2</v>
      </c>
      <c r="K265" s="7">
        <f t="shared" si="19"/>
        <v>21</v>
      </c>
    </row>
    <row r="266" spans="1:11">
      <c r="A266" t="s">
        <v>72</v>
      </c>
      <c r="B266" s="4">
        <v>45705</v>
      </c>
      <c r="C266" t="s">
        <v>19</v>
      </c>
      <c r="D266">
        <v>3</v>
      </c>
      <c r="E266" t="s">
        <v>12</v>
      </c>
      <c r="F266" s="2">
        <v>69.8</v>
      </c>
      <c r="G266" t="s">
        <v>25</v>
      </c>
      <c r="H266" s="7" t="str">
        <f t="shared" si="16"/>
        <v>Fail</v>
      </c>
      <c r="I266" s="7">
        <f t="shared" si="17"/>
        <v>2025</v>
      </c>
      <c r="J266" s="7">
        <f t="shared" si="18"/>
        <v>2</v>
      </c>
      <c r="K266" s="7">
        <f t="shared" si="19"/>
        <v>17</v>
      </c>
    </row>
    <row r="267" spans="1:11">
      <c r="A267" t="s">
        <v>289</v>
      </c>
      <c r="B267" s="4">
        <v>45704</v>
      </c>
      <c r="C267" t="s">
        <v>19</v>
      </c>
      <c r="D267">
        <v>15</v>
      </c>
      <c r="E267" t="s">
        <v>14</v>
      </c>
      <c r="F267" s="2">
        <v>46.6</v>
      </c>
      <c r="G267" t="s">
        <v>17</v>
      </c>
      <c r="H267" s="7" t="str">
        <f t="shared" si="16"/>
        <v>Fail</v>
      </c>
      <c r="I267" s="7">
        <f t="shared" si="17"/>
        <v>2025</v>
      </c>
      <c r="J267" s="7">
        <f t="shared" si="18"/>
        <v>2</v>
      </c>
      <c r="K267" s="7">
        <f t="shared" si="19"/>
        <v>16</v>
      </c>
    </row>
    <row r="268" spans="1:11">
      <c r="A268" t="s">
        <v>38</v>
      </c>
      <c r="B268" s="4">
        <v>45703</v>
      </c>
      <c r="C268" t="s">
        <v>11</v>
      </c>
      <c r="D268">
        <v>2</v>
      </c>
      <c r="E268" t="s">
        <v>12</v>
      </c>
      <c r="F268" s="2">
        <v>74.400000000000006</v>
      </c>
      <c r="G268" t="s">
        <v>17</v>
      </c>
      <c r="H268" s="7" t="str">
        <f t="shared" si="16"/>
        <v>Pass</v>
      </c>
      <c r="I268" s="7">
        <f t="shared" si="17"/>
        <v>2025</v>
      </c>
      <c r="J268" s="7">
        <f t="shared" si="18"/>
        <v>2</v>
      </c>
      <c r="K268" s="7">
        <f t="shared" si="19"/>
        <v>15</v>
      </c>
    </row>
    <row r="269" spans="1:11">
      <c r="A269" t="s">
        <v>253</v>
      </c>
      <c r="B269" s="4">
        <v>45698</v>
      </c>
      <c r="C269" t="s">
        <v>8</v>
      </c>
      <c r="D269">
        <v>13</v>
      </c>
      <c r="E269" t="s">
        <v>9</v>
      </c>
      <c r="F269" s="2">
        <v>87</v>
      </c>
      <c r="G269" t="s">
        <v>10</v>
      </c>
      <c r="H269" s="7" t="str">
        <f t="shared" si="16"/>
        <v>Pass</v>
      </c>
      <c r="I269" s="7">
        <f t="shared" si="17"/>
        <v>2025</v>
      </c>
      <c r="J269" s="7">
        <f t="shared" si="18"/>
        <v>2</v>
      </c>
      <c r="K269" s="7">
        <f t="shared" si="19"/>
        <v>10</v>
      </c>
    </row>
    <row r="270" spans="1:11">
      <c r="A270" t="s">
        <v>182</v>
      </c>
      <c r="B270" s="4">
        <v>45698</v>
      </c>
      <c r="C270" t="s">
        <v>8</v>
      </c>
      <c r="D270">
        <v>0</v>
      </c>
      <c r="E270" t="s">
        <v>14</v>
      </c>
      <c r="F270" s="2">
        <v>66.599999999999994</v>
      </c>
      <c r="G270" t="s">
        <v>25</v>
      </c>
      <c r="H270" s="7" t="str">
        <f t="shared" si="16"/>
        <v>Fail</v>
      </c>
      <c r="I270" s="7">
        <f t="shared" si="17"/>
        <v>2025</v>
      </c>
      <c r="J270" s="7">
        <f t="shared" si="18"/>
        <v>2</v>
      </c>
      <c r="K270" s="7">
        <f t="shared" si="19"/>
        <v>10</v>
      </c>
    </row>
    <row r="271" spans="1:11">
      <c r="A271" t="s">
        <v>281</v>
      </c>
      <c r="B271" s="4">
        <v>45697</v>
      </c>
      <c r="C271" t="s">
        <v>16</v>
      </c>
      <c r="D271">
        <v>15</v>
      </c>
      <c r="E271" t="s">
        <v>12</v>
      </c>
      <c r="F271" s="2">
        <v>59.3</v>
      </c>
      <c r="G271" t="s">
        <v>27</v>
      </c>
      <c r="H271" s="7" t="str">
        <f t="shared" si="16"/>
        <v>Fail</v>
      </c>
      <c r="I271" s="7">
        <f t="shared" si="17"/>
        <v>2025</v>
      </c>
      <c r="J271" s="7">
        <f t="shared" si="18"/>
        <v>2</v>
      </c>
      <c r="K271" s="7">
        <f t="shared" si="19"/>
        <v>9</v>
      </c>
    </row>
    <row r="272" spans="1:11">
      <c r="A272" t="s">
        <v>113</v>
      </c>
      <c r="B272" s="4">
        <v>45696</v>
      </c>
      <c r="C272" t="s">
        <v>16</v>
      </c>
      <c r="D272">
        <v>4</v>
      </c>
      <c r="E272" t="s">
        <v>44</v>
      </c>
      <c r="F272" s="2">
        <v>91</v>
      </c>
      <c r="G272" t="s">
        <v>25</v>
      </c>
      <c r="H272" s="7" t="str">
        <f t="shared" si="16"/>
        <v>Pass</v>
      </c>
      <c r="I272" s="7">
        <f t="shared" si="17"/>
        <v>2025</v>
      </c>
      <c r="J272" s="7">
        <f t="shared" si="18"/>
        <v>2</v>
      </c>
      <c r="K272" s="7">
        <f t="shared" si="19"/>
        <v>8</v>
      </c>
    </row>
    <row r="273" spans="1:11">
      <c r="A273" t="s">
        <v>313</v>
      </c>
      <c r="B273" s="4">
        <v>45696</v>
      </c>
      <c r="C273" t="s">
        <v>8</v>
      </c>
      <c r="D273">
        <v>12</v>
      </c>
      <c r="E273" t="s">
        <v>14</v>
      </c>
      <c r="F273" s="2">
        <v>65.7</v>
      </c>
      <c r="G273" t="s">
        <v>17</v>
      </c>
      <c r="H273" s="7" t="str">
        <f t="shared" si="16"/>
        <v>Fail</v>
      </c>
      <c r="I273" s="7">
        <f t="shared" si="17"/>
        <v>2025</v>
      </c>
      <c r="J273" s="7">
        <f t="shared" si="18"/>
        <v>2</v>
      </c>
      <c r="K273" s="7">
        <f t="shared" si="19"/>
        <v>8</v>
      </c>
    </row>
    <row r="274" spans="1:11">
      <c r="A274" t="s">
        <v>130</v>
      </c>
      <c r="B274" s="4">
        <v>45695</v>
      </c>
      <c r="C274" t="s">
        <v>19</v>
      </c>
      <c r="D274">
        <v>1</v>
      </c>
      <c r="E274" t="s">
        <v>14</v>
      </c>
      <c r="F274" s="2">
        <v>58.8</v>
      </c>
      <c r="G274" t="s">
        <v>25</v>
      </c>
      <c r="H274" s="7" t="str">
        <f t="shared" si="16"/>
        <v>Fail</v>
      </c>
      <c r="I274" s="7">
        <f t="shared" si="17"/>
        <v>2025</v>
      </c>
      <c r="J274" s="7">
        <f t="shared" si="18"/>
        <v>2</v>
      </c>
      <c r="K274" s="7">
        <f t="shared" si="19"/>
        <v>7</v>
      </c>
    </row>
    <row r="275" spans="1:11">
      <c r="A275" t="s">
        <v>54</v>
      </c>
      <c r="B275" s="4">
        <v>45692</v>
      </c>
      <c r="C275" t="s">
        <v>21</v>
      </c>
      <c r="D275">
        <v>12</v>
      </c>
      <c r="E275" t="s">
        <v>14</v>
      </c>
      <c r="F275" s="2">
        <v>91.1</v>
      </c>
      <c r="G275" t="s">
        <v>10</v>
      </c>
      <c r="H275" s="7" t="str">
        <f t="shared" si="16"/>
        <v>Pass</v>
      </c>
      <c r="I275" s="7">
        <f t="shared" si="17"/>
        <v>2025</v>
      </c>
      <c r="J275" s="7">
        <f t="shared" si="18"/>
        <v>2</v>
      </c>
      <c r="K275" s="7">
        <f t="shared" si="19"/>
        <v>4</v>
      </c>
    </row>
    <row r="276" spans="1:11">
      <c r="A276" t="s">
        <v>147</v>
      </c>
      <c r="B276" s="4">
        <v>45686</v>
      </c>
      <c r="C276" t="s">
        <v>21</v>
      </c>
      <c r="D276">
        <v>1</v>
      </c>
      <c r="E276" t="s">
        <v>14</v>
      </c>
      <c r="F276" s="2">
        <v>78.599999999999994</v>
      </c>
      <c r="G276" t="s">
        <v>27</v>
      </c>
      <c r="H276" s="7" t="str">
        <f t="shared" si="16"/>
        <v>Pass</v>
      </c>
      <c r="I276" s="7">
        <f t="shared" si="17"/>
        <v>2025</v>
      </c>
      <c r="J276" s="7">
        <f t="shared" si="18"/>
        <v>1</v>
      </c>
      <c r="K276" s="7">
        <f t="shared" si="19"/>
        <v>29</v>
      </c>
    </row>
    <row r="277" spans="1:11">
      <c r="A277" t="s">
        <v>279</v>
      </c>
      <c r="B277" s="4">
        <v>45685</v>
      </c>
      <c r="C277" t="s">
        <v>8</v>
      </c>
      <c r="D277">
        <v>7</v>
      </c>
      <c r="E277" t="s">
        <v>12</v>
      </c>
      <c r="F277" s="2">
        <v>52.8</v>
      </c>
      <c r="G277" t="s">
        <v>17</v>
      </c>
      <c r="H277" s="7" t="str">
        <f t="shared" si="16"/>
        <v>Fail</v>
      </c>
      <c r="I277" s="7">
        <f t="shared" si="17"/>
        <v>2025</v>
      </c>
      <c r="J277" s="7">
        <f t="shared" si="18"/>
        <v>1</v>
      </c>
      <c r="K277" s="7">
        <f t="shared" si="19"/>
        <v>28</v>
      </c>
    </row>
    <row r="278" spans="1:11">
      <c r="A278" t="s">
        <v>323</v>
      </c>
      <c r="B278" s="4">
        <v>45684</v>
      </c>
      <c r="C278" t="s">
        <v>16</v>
      </c>
      <c r="D278">
        <v>0</v>
      </c>
      <c r="E278" t="s">
        <v>14</v>
      </c>
      <c r="F278" s="2">
        <v>62.9</v>
      </c>
      <c r="G278" t="s">
        <v>17</v>
      </c>
      <c r="H278" s="7" t="str">
        <f t="shared" si="16"/>
        <v>Fail</v>
      </c>
      <c r="I278" s="7">
        <f t="shared" si="17"/>
        <v>2025</v>
      </c>
      <c r="J278" s="7">
        <f t="shared" si="18"/>
        <v>1</v>
      </c>
      <c r="K278" s="7">
        <f t="shared" si="19"/>
        <v>27</v>
      </c>
    </row>
    <row r="279" spans="1:11">
      <c r="A279" t="s">
        <v>98</v>
      </c>
      <c r="B279" s="4">
        <v>45683</v>
      </c>
      <c r="C279" t="s">
        <v>16</v>
      </c>
      <c r="D279">
        <v>4</v>
      </c>
      <c r="E279" t="s">
        <v>14</v>
      </c>
      <c r="F279" s="2">
        <v>66.5</v>
      </c>
      <c r="G279" t="s">
        <v>27</v>
      </c>
      <c r="H279" s="7" t="str">
        <f t="shared" si="16"/>
        <v>Fail</v>
      </c>
      <c r="I279" s="7">
        <f t="shared" si="17"/>
        <v>2025</v>
      </c>
      <c r="J279" s="7">
        <f t="shared" si="18"/>
        <v>1</v>
      </c>
      <c r="K279" s="7">
        <f t="shared" si="19"/>
        <v>26</v>
      </c>
    </row>
    <row r="280" spans="1:11">
      <c r="A280" t="s">
        <v>285</v>
      </c>
      <c r="B280" s="4">
        <v>45682</v>
      </c>
      <c r="C280" t="s">
        <v>11</v>
      </c>
      <c r="D280">
        <v>15</v>
      </c>
      <c r="E280" t="s">
        <v>44</v>
      </c>
      <c r="F280" s="2">
        <v>88.7</v>
      </c>
      <c r="G280" t="s">
        <v>10</v>
      </c>
      <c r="H280" s="7" t="str">
        <f t="shared" si="16"/>
        <v>Pass</v>
      </c>
      <c r="I280" s="7">
        <f t="shared" si="17"/>
        <v>2025</v>
      </c>
      <c r="J280" s="7">
        <f t="shared" si="18"/>
        <v>1</v>
      </c>
      <c r="K280" s="7">
        <f t="shared" si="19"/>
        <v>25</v>
      </c>
    </row>
    <row r="281" spans="1:11">
      <c r="A281" t="s">
        <v>190</v>
      </c>
      <c r="B281" s="4">
        <v>45682</v>
      </c>
      <c r="C281" t="s">
        <v>21</v>
      </c>
      <c r="D281">
        <v>5</v>
      </c>
      <c r="E281" t="s">
        <v>12</v>
      </c>
      <c r="F281" s="2">
        <v>75.5</v>
      </c>
      <c r="G281" t="s">
        <v>25</v>
      </c>
      <c r="H281" s="7" t="str">
        <f t="shared" si="16"/>
        <v>Pass</v>
      </c>
      <c r="I281" s="7">
        <f t="shared" si="17"/>
        <v>2025</v>
      </c>
      <c r="J281" s="7">
        <f t="shared" si="18"/>
        <v>1</v>
      </c>
      <c r="K281" s="7">
        <f t="shared" si="19"/>
        <v>25</v>
      </c>
    </row>
    <row r="282" spans="1:11">
      <c r="A282" t="s">
        <v>128</v>
      </c>
      <c r="B282" s="4">
        <v>45680</v>
      </c>
      <c r="C282" t="s">
        <v>8</v>
      </c>
      <c r="D282">
        <v>13</v>
      </c>
      <c r="E282" t="s">
        <v>12</v>
      </c>
      <c r="F282" s="2">
        <v>91.9</v>
      </c>
      <c r="G282" t="s">
        <v>10</v>
      </c>
      <c r="H282" s="7" t="str">
        <f t="shared" si="16"/>
        <v>Pass</v>
      </c>
      <c r="I282" s="7">
        <f t="shared" si="17"/>
        <v>2025</v>
      </c>
      <c r="J282" s="7">
        <f t="shared" si="18"/>
        <v>1</v>
      </c>
      <c r="K282" s="7">
        <f t="shared" si="19"/>
        <v>23</v>
      </c>
    </row>
    <row r="283" spans="1:11">
      <c r="A283" t="s">
        <v>261</v>
      </c>
      <c r="B283" s="4">
        <v>45679</v>
      </c>
      <c r="C283" t="s">
        <v>11</v>
      </c>
      <c r="D283">
        <v>1</v>
      </c>
      <c r="E283" t="s">
        <v>14</v>
      </c>
      <c r="F283" s="2">
        <v>79.900000000000006</v>
      </c>
      <c r="G283" t="s">
        <v>17</v>
      </c>
      <c r="H283" s="7" t="str">
        <f t="shared" si="16"/>
        <v>Pass</v>
      </c>
      <c r="I283" s="7">
        <f t="shared" si="17"/>
        <v>2025</v>
      </c>
      <c r="J283" s="7">
        <f t="shared" si="18"/>
        <v>1</v>
      </c>
      <c r="K283" s="7">
        <f t="shared" si="19"/>
        <v>22</v>
      </c>
    </row>
    <row r="284" spans="1:11">
      <c r="A284" t="s">
        <v>140</v>
      </c>
      <c r="B284" s="4">
        <v>45678</v>
      </c>
      <c r="C284" t="s">
        <v>11</v>
      </c>
      <c r="D284">
        <v>1</v>
      </c>
      <c r="E284" t="s">
        <v>14</v>
      </c>
      <c r="F284" s="2">
        <v>75</v>
      </c>
      <c r="G284" t="s">
        <v>27</v>
      </c>
      <c r="H284" s="7" t="str">
        <f t="shared" si="16"/>
        <v>Pass</v>
      </c>
      <c r="I284" s="7">
        <f t="shared" si="17"/>
        <v>2025</v>
      </c>
      <c r="J284" s="7">
        <f t="shared" si="18"/>
        <v>1</v>
      </c>
      <c r="K284" s="7">
        <f t="shared" si="19"/>
        <v>21</v>
      </c>
    </row>
    <row r="285" spans="1:11">
      <c r="A285" t="s">
        <v>270</v>
      </c>
      <c r="B285" s="4">
        <v>45677</v>
      </c>
      <c r="C285" t="s">
        <v>11</v>
      </c>
      <c r="D285">
        <v>7</v>
      </c>
      <c r="E285" t="s">
        <v>14</v>
      </c>
      <c r="F285" s="2">
        <v>61.6</v>
      </c>
      <c r="G285" t="s">
        <v>27</v>
      </c>
      <c r="H285" s="7" t="str">
        <f t="shared" si="16"/>
        <v>Fail</v>
      </c>
      <c r="I285" s="7">
        <f t="shared" si="17"/>
        <v>2025</v>
      </c>
      <c r="J285" s="7">
        <f t="shared" si="18"/>
        <v>1</v>
      </c>
      <c r="K285" s="7">
        <f t="shared" si="19"/>
        <v>20</v>
      </c>
    </row>
    <row r="286" spans="1:11">
      <c r="A286" t="s">
        <v>189</v>
      </c>
      <c r="B286" s="4">
        <v>45675</v>
      </c>
      <c r="C286" t="s">
        <v>21</v>
      </c>
      <c r="D286">
        <v>0</v>
      </c>
      <c r="E286" t="s">
        <v>14</v>
      </c>
      <c r="F286" s="2">
        <v>83.7</v>
      </c>
      <c r="G286" t="s">
        <v>10</v>
      </c>
      <c r="H286" s="7" t="str">
        <f t="shared" si="16"/>
        <v>Pass</v>
      </c>
      <c r="I286" s="7">
        <f t="shared" si="17"/>
        <v>2025</v>
      </c>
      <c r="J286" s="7">
        <f t="shared" si="18"/>
        <v>1</v>
      </c>
      <c r="K286" s="7">
        <f t="shared" si="19"/>
        <v>18</v>
      </c>
    </row>
    <row r="287" spans="1:11">
      <c r="A287" t="s">
        <v>174</v>
      </c>
      <c r="B287" s="4">
        <v>45674</v>
      </c>
      <c r="C287" t="s">
        <v>21</v>
      </c>
      <c r="D287">
        <v>2</v>
      </c>
      <c r="E287" t="s">
        <v>14</v>
      </c>
      <c r="F287" s="2">
        <v>68.099999999999994</v>
      </c>
      <c r="G287" t="s">
        <v>27</v>
      </c>
      <c r="H287" s="7" t="str">
        <f t="shared" si="16"/>
        <v>Fail</v>
      </c>
      <c r="I287" s="7">
        <f t="shared" si="17"/>
        <v>2025</v>
      </c>
      <c r="J287" s="7">
        <f t="shared" si="18"/>
        <v>1</v>
      </c>
      <c r="K287" s="7">
        <f t="shared" si="19"/>
        <v>17</v>
      </c>
    </row>
    <row r="288" spans="1:11">
      <c r="A288" t="s">
        <v>193</v>
      </c>
      <c r="B288" s="4">
        <v>45668</v>
      </c>
      <c r="C288" t="s">
        <v>21</v>
      </c>
      <c r="D288">
        <v>6</v>
      </c>
      <c r="E288" t="s">
        <v>9</v>
      </c>
      <c r="F288" s="2">
        <v>70.099999999999994</v>
      </c>
      <c r="G288" t="s">
        <v>27</v>
      </c>
      <c r="H288" s="7" t="str">
        <f t="shared" si="16"/>
        <v>Pass</v>
      </c>
      <c r="I288" s="7">
        <f t="shared" si="17"/>
        <v>2025</v>
      </c>
      <c r="J288" s="7">
        <f t="shared" si="18"/>
        <v>1</v>
      </c>
      <c r="K288" s="7">
        <f t="shared" si="19"/>
        <v>11</v>
      </c>
    </row>
    <row r="289" spans="1:11">
      <c r="A289" t="s">
        <v>26</v>
      </c>
      <c r="B289" s="4">
        <v>45667</v>
      </c>
      <c r="C289" t="s">
        <v>11</v>
      </c>
      <c r="D289">
        <v>3</v>
      </c>
      <c r="E289" t="s">
        <v>14</v>
      </c>
      <c r="F289" s="2">
        <v>75.8</v>
      </c>
      <c r="G289" t="s">
        <v>27</v>
      </c>
      <c r="H289" s="7" t="str">
        <f t="shared" si="16"/>
        <v>Pass</v>
      </c>
      <c r="I289" s="7">
        <f t="shared" si="17"/>
        <v>2025</v>
      </c>
      <c r="J289" s="7">
        <f t="shared" si="18"/>
        <v>1</v>
      </c>
      <c r="K289" s="7">
        <f t="shared" si="19"/>
        <v>10</v>
      </c>
    </row>
    <row r="290" spans="1:11">
      <c r="A290" t="s">
        <v>240</v>
      </c>
      <c r="B290" s="4">
        <v>45665</v>
      </c>
      <c r="C290" t="s">
        <v>19</v>
      </c>
      <c r="D290">
        <v>2</v>
      </c>
      <c r="E290" t="s">
        <v>14</v>
      </c>
      <c r="F290" s="2">
        <v>70.900000000000006</v>
      </c>
      <c r="G290" t="s">
        <v>25</v>
      </c>
      <c r="H290" s="7" t="str">
        <f t="shared" si="16"/>
        <v>Pass</v>
      </c>
      <c r="I290" s="7">
        <f t="shared" si="17"/>
        <v>2025</v>
      </c>
      <c r="J290" s="7">
        <f t="shared" si="18"/>
        <v>1</v>
      </c>
      <c r="K290" s="7">
        <f t="shared" si="19"/>
        <v>8</v>
      </c>
    </row>
    <row r="291" spans="1:11">
      <c r="A291" t="s">
        <v>32</v>
      </c>
      <c r="B291" s="4">
        <v>45663</v>
      </c>
      <c r="C291" t="s">
        <v>24</v>
      </c>
      <c r="D291">
        <v>6</v>
      </c>
      <c r="E291" t="s">
        <v>36</v>
      </c>
      <c r="F291" s="2">
        <v>92.9</v>
      </c>
      <c r="G291" t="s">
        <v>10</v>
      </c>
      <c r="H291" s="7" t="str">
        <f t="shared" si="16"/>
        <v>Pass</v>
      </c>
      <c r="I291" s="7">
        <f t="shared" si="17"/>
        <v>2025</v>
      </c>
      <c r="J291" s="7">
        <f t="shared" si="18"/>
        <v>1</v>
      </c>
      <c r="K291" s="7">
        <f t="shared" si="19"/>
        <v>6</v>
      </c>
    </row>
    <row r="292" spans="1:11">
      <c r="A292" t="s">
        <v>277</v>
      </c>
      <c r="B292" s="4">
        <v>45660</v>
      </c>
      <c r="C292" t="s">
        <v>19</v>
      </c>
      <c r="D292">
        <v>13</v>
      </c>
      <c r="E292" t="s">
        <v>36</v>
      </c>
      <c r="F292" s="2">
        <v>37.6</v>
      </c>
      <c r="G292" t="s">
        <v>25</v>
      </c>
      <c r="H292" s="7" t="str">
        <f t="shared" si="16"/>
        <v>Fail</v>
      </c>
      <c r="I292" s="7">
        <f t="shared" si="17"/>
        <v>2025</v>
      </c>
      <c r="J292" s="7">
        <f t="shared" si="18"/>
        <v>1</v>
      </c>
      <c r="K292" s="7">
        <f t="shared" si="19"/>
        <v>3</v>
      </c>
    </row>
    <row r="293" spans="1:11">
      <c r="A293" t="s">
        <v>155</v>
      </c>
      <c r="B293" s="4">
        <v>45658</v>
      </c>
      <c r="C293" t="s">
        <v>21</v>
      </c>
      <c r="D293">
        <v>9</v>
      </c>
      <c r="E293" t="s">
        <v>14</v>
      </c>
      <c r="F293" s="2">
        <v>74</v>
      </c>
      <c r="G293" t="s">
        <v>10</v>
      </c>
      <c r="H293" s="7" t="str">
        <f t="shared" si="16"/>
        <v>Pass</v>
      </c>
      <c r="I293" s="7">
        <f t="shared" si="17"/>
        <v>2025</v>
      </c>
      <c r="J293" s="7">
        <f t="shared" si="18"/>
        <v>1</v>
      </c>
      <c r="K293" s="7">
        <f t="shared" si="19"/>
        <v>1</v>
      </c>
    </row>
    <row r="294" spans="1:11">
      <c r="A294" t="s">
        <v>191</v>
      </c>
      <c r="B294" s="4">
        <v>45658</v>
      </c>
      <c r="C294" t="s">
        <v>36</v>
      </c>
      <c r="D294">
        <v>4</v>
      </c>
      <c r="E294" t="s">
        <v>14</v>
      </c>
      <c r="F294" s="2">
        <v>74</v>
      </c>
      <c r="G294" t="s">
        <v>17</v>
      </c>
      <c r="H294" s="7" t="str">
        <f t="shared" si="16"/>
        <v>Pass</v>
      </c>
      <c r="I294" s="7">
        <f t="shared" si="17"/>
        <v>2025</v>
      </c>
      <c r="J294" s="7">
        <f t="shared" si="18"/>
        <v>1</v>
      </c>
      <c r="K294" s="7">
        <f t="shared" si="19"/>
        <v>1</v>
      </c>
    </row>
    <row r="296" spans="1:11">
      <c r="F296" s="2">
        <f>SUM(F2:F294)</f>
        <v>21365.300000000007</v>
      </c>
    </row>
  </sheetData>
  <autoFilter ref="A1:K294" xr:uid="{FCD7C1B1-DBC9-4008-A9F6-0DC6DCB2BC41}"/>
  <sortState xmlns:xlrd2="http://schemas.microsoft.com/office/spreadsheetml/2017/richdata2" ref="A1:M294">
    <sortCondition descending="1" ref="B10:B294"/>
  </sortState>
  <mergeCells count="1">
    <mergeCell ref="N4:O4"/>
  </mergeCells>
  <conditionalFormatting sqref="F2:F294">
    <cfRule type="colorScale" priority="3">
      <colorScale>
        <cfvo type="min"/>
        <cfvo type="max"/>
        <color rgb="FFFCFCFF"/>
        <color rgb="FF63BE7B"/>
      </colorScale>
    </cfRule>
  </conditionalFormatting>
  <conditionalFormatting sqref="G2:G294">
    <cfRule type="containsText" dxfId="0" priority="1" operator="containsText" text="Hired">
      <formula>NOT(ISERROR(SEARCH("Hired",G2)))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2CF84-BE0B-4169-97E3-970F1CD5B0C6}">
  <sheetPr>
    <tabColor theme="8" tint="0.39997558519241921"/>
  </sheetPr>
  <dimension ref="A1:G296"/>
  <sheetViews>
    <sheetView workbookViewId="0">
      <selection activeCell="G20" sqref="G20"/>
    </sheetView>
  </sheetViews>
  <sheetFormatPr defaultColWidth="16.81640625" defaultRowHeight="14.5"/>
  <cols>
    <col min="1" max="1" width="17.7265625" bestFit="1" customWidth="1"/>
    <col min="5" max="5" width="9.36328125" customWidth="1"/>
    <col min="6" max="6" width="33.54296875" customWidth="1"/>
    <col min="7" max="7" width="13.90625" customWidth="1"/>
    <col min="8" max="8" width="11.6328125" customWidth="1"/>
  </cols>
  <sheetData>
    <row r="1" spans="1:7" ht="18.5">
      <c r="A1" s="20" t="s">
        <v>326</v>
      </c>
      <c r="B1" s="21"/>
      <c r="C1" s="21"/>
      <c r="D1" s="21"/>
      <c r="F1" s="22" t="s">
        <v>331</v>
      </c>
      <c r="G1" s="22"/>
    </row>
    <row r="2" spans="1:7" s="8" customFormat="1" ht="16">
      <c r="A2" s="14" t="s">
        <v>327</v>
      </c>
      <c r="B2" s="15" t="s">
        <v>328</v>
      </c>
      <c r="C2" s="14" t="s">
        <v>329</v>
      </c>
      <c r="D2" s="14" t="s">
        <v>330</v>
      </c>
      <c r="F2" s="13" t="s">
        <v>332</v>
      </c>
      <c r="G2">
        <f>SUM('Clean Data'!D2:D294)</f>
        <v>2197</v>
      </c>
    </row>
    <row r="3" spans="1:7">
      <c r="A3" t="str">
        <f>'Clean Data'!C2</f>
        <v>Operations</v>
      </c>
      <c r="B3" t="str">
        <f>TRIM(A3)</f>
        <v>Operations</v>
      </c>
      <c r="C3" t="str">
        <f>PROPER(B3)</f>
        <v>Operations</v>
      </c>
      <c r="D3" t="str">
        <f>UPPER('Clean Data'!G2)</f>
        <v>HIRED</v>
      </c>
      <c r="F3" s="13" t="s">
        <v>333</v>
      </c>
      <c r="G3" s="2">
        <f>AVERAGE('Clean Data'!F2:F294)</f>
        <v>72.919112627986365</v>
      </c>
    </row>
    <row r="4" spans="1:7">
      <c r="A4" t="str">
        <f>'Clean Data'!C3</f>
        <v>IT</v>
      </c>
      <c r="B4" t="str">
        <f t="shared" ref="B4:B67" si="0">TRIM(A4)</f>
        <v>IT</v>
      </c>
      <c r="C4" t="str">
        <f t="shared" ref="C4:C67" si="1">PROPER(B4)</f>
        <v>It</v>
      </c>
      <c r="D4" t="str">
        <f>UPPER('Clean Data'!G3)</f>
        <v>HIRED</v>
      </c>
      <c r="F4" s="13" t="s">
        <v>334</v>
      </c>
      <c r="G4">
        <f>COUNT('Clean Data'!F2:F294)</f>
        <v>293</v>
      </c>
    </row>
    <row r="5" spans="1:7">
      <c r="A5" t="str">
        <f>'Clean Data'!C4</f>
        <v>Administration</v>
      </c>
      <c r="B5" t="str">
        <f t="shared" si="0"/>
        <v>Administration</v>
      </c>
      <c r="C5" t="str">
        <f t="shared" si="1"/>
        <v>Administration</v>
      </c>
      <c r="D5" t="str">
        <f>UPPER('Clean Data'!G4)</f>
        <v>SHORTLISTED</v>
      </c>
      <c r="F5" s="13" t="s">
        <v>335</v>
      </c>
      <c r="G5">
        <f>MIN('Clean Data'!F2:F294)</f>
        <v>27.4</v>
      </c>
    </row>
    <row r="6" spans="1:7">
      <c r="A6" t="str">
        <f>'Clean Data'!C5</f>
        <v>IT</v>
      </c>
      <c r="B6" t="str">
        <f t="shared" si="0"/>
        <v>IT</v>
      </c>
      <c r="C6" t="str">
        <f t="shared" si="1"/>
        <v>It</v>
      </c>
      <c r="D6" t="str">
        <f>UPPER('Clean Data'!G5)</f>
        <v>REJECTED</v>
      </c>
      <c r="F6" s="13" t="s">
        <v>336</v>
      </c>
      <c r="G6">
        <f>MAX('Clean Data'!F2:F294)</f>
        <v>100</v>
      </c>
    </row>
    <row r="7" spans="1:7">
      <c r="A7" t="str">
        <f>'Clean Data'!C6</f>
        <v>Sales</v>
      </c>
      <c r="B7" t="str">
        <f t="shared" si="0"/>
        <v>Sales</v>
      </c>
      <c r="C7" t="str">
        <f t="shared" si="1"/>
        <v>Sales</v>
      </c>
      <c r="D7" t="str">
        <f>UPPER('Clean Data'!G6)</f>
        <v>PENDING</v>
      </c>
    </row>
    <row r="8" spans="1:7">
      <c r="A8" t="str">
        <f>'Clean Data'!C7</f>
        <v>Finance</v>
      </c>
      <c r="B8" t="str">
        <f t="shared" si="0"/>
        <v>Finance</v>
      </c>
      <c r="C8" t="str">
        <f t="shared" si="1"/>
        <v>Finance</v>
      </c>
      <c r="D8" t="str">
        <f>UPPER('Clean Data'!G7)</f>
        <v>REJECTED</v>
      </c>
    </row>
    <row r="9" spans="1:7" ht="16">
      <c r="A9" t="str">
        <f>'Clean Data'!C8</f>
        <v>Finance</v>
      </c>
      <c r="B9" t="str">
        <f t="shared" si="0"/>
        <v>Finance</v>
      </c>
      <c r="C9" t="str">
        <f t="shared" si="1"/>
        <v>Finance</v>
      </c>
      <c r="D9" t="str">
        <f>UPPER('Clean Data'!G8)</f>
        <v>SHORTLISTED</v>
      </c>
      <c r="F9" s="22" t="s">
        <v>337</v>
      </c>
      <c r="G9" s="22"/>
    </row>
    <row r="10" spans="1:7">
      <c r="A10" t="str">
        <f>'Clean Data'!C9</f>
        <v>Unknown</v>
      </c>
      <c r="B10" t="str">
        <f t="shared" si="0"/>
        <v>Unknown</v>
      </c>
      <c r="C10" t="str">
        <f t="shared" si="1"/>
        <v>Unknown</v>
      </c>
      <c r="D10" t="str">
        <f>UPPER('Clean Data'!G9)</f>
        <v>HIRED</v>
      </c>
      <c r="F10" s="13" t="s">
        <v>338</v>
      </c>
      <c r="G10">
        <f>COUNTIF('Clean Data'!G2:G294,"Hired")</f>
        <v>85</v>
      </c>
    </row>
    <row r="11" spans="1:7">
      <c r="A11" t="str">
        <f>'Clean Data'!C10</f>
        <v>Finance</v>
      </c>
      <c r="B11" t="str">
        <f t="shared" si="0"/>
        <v>Finance</v>
      </c>
      <c r="C11" t="str">
        <f t="shared" si="1"/>
        <v>Finance</v>
      </c>
      <c r="D11" t="str">
        <f>UPPER('Clean Data'!G10)</f>
        <v>SHORTLISTED</v>
      </c>
      <c r="F11" s="13" t="s">
        <v>339</v>
      </c>
      <c r="G11">
        <f>COUNTIF('Clean Data'!G2:G294,"Rejected")</f>
        <v>73</v>
      </c>
    </row>
    <row r="12" spans="1:7">
      <c r="A12" t="str">
        <f>'Clean Data'!C11</f>
        <v>Sales</v>
      </c>
      <c r="B12" t="str">
        <f t="shared" si="0"/>
        <v>Sales</v>
      </c>
      <c r="C12" t="str">
        <f t="shared" si="1"/>
        <v>Sales</v>
      </c>
      <c r="D12" t="str">
        <f>UPPER('Clean Data'!G11)</f>
        <v>HIRED</v>
      </c>
      <c r="F12" s="13" t="s">
        <v>340</v>
      </c>
      <c r="G12" s="2">
        <f>AVERAGEIF('Clean Data'!G2:G294,"Hired",'Clean Data'!F2:F294)</f>
        <v>87.357647058823531</v>
      </c>
    </row>
    <row r="13" spans="1:7">
      <c r="A13" t="str">
        <f>'Clean Data'!C12</f>
        <v>Sales</v>
      </c>
      <c r="B13" t="str">
        <f t="shared" si="0"/>
        <v>Sales</v>
      </c>
      <c r="C13" t="str">
        <f t="shared" si="1"/>
        <v>Sales</v>
      </c>
      <c r="D13" t="str">
        <f>UPPER('Clean Data'!G12)</f>
        <v>HIRED</v>
      </c>
      <c r="F13" s="13" t="s">
        <v>341</v>
      </c>
      <c r="G13" s="9">
        <f>SUMIF('Clean Data'!G2:G294,"Hired",'Clean Data'!F2:F294)</f>
        <v>7425.4000000000005</v>
      </c>
    </row>
    <row r="14" spans="1:7">
      <c r="A14" t="str">
        <f>'Clean Data'!C13</f>
        <v>Operations</v>
      </c>
      <c r="B14" t="str">
        <f t="shared" si="0"/>
        <v>Operations</v>
      </c>
      <c r="C14" t="str">
        <f t="shared" si="1"/>
        <v>Operations</v>
      </c>
      <c r="D14" t="str">
        <f>UPPER('Clean Data'!G13)</f>
        <v>SHORTLISTED</v>
      </c>
    </row>
    <row r="15" spans="1:7">
      <c r="A15" t="str">
        <f>'Clean Data'!C14</f>
        <v>Sales</v>
      </c>
      <c r="B15" t="str">
        <f t="shared" si="0"/>
        <v>Sales</v>
      </c>
      <c r="C15" t="str">
        <f t="shared" si="1"/>
        <v>Sales</v>
      </c>
      <c r="D15" t="str">
        <f>UPPER('Clean Data'!G14)</f>
        <v>HIRED</v>
      </c>
    </row>
    <row r="16" spans="1:7">
      <c r="A16" t="str">
        <f>'Clean Data'!C15</f>
        <v>IT</v>
      </c>
      <c r="B16" t="str">
        <f t="shared" si="0"/>
        <v>IT</v>
      </c>
      <c r="C16" t="str">
        <f t="shared" si="1"/>
        <v>It</v>
      </c>
      <c r="D16" t="str">
        <f>UPPER('Clean Data'!G15)</f>
        <v>SHORTLISTED</v>
      </c>
      <c r="F16" s="13" t="s">
        <v>352</v>
      </c>
    </row>
    <row r="17" spans="1:7">
      <c r="A17" t="str">
        <f>'Clean Data'!C16</f>
        <v>Unknown</v>
      </c>
      <c r="B17" t="str">
        <f t="shared" si="0"/>
        <v>Unknown</v>
      </c>
      <c r="C17" t="str">
        <f t="shared" si="1"/>
        <v>Unknown</v>
      </c>
      <c r="D17" t="str">
        <f>UPPER('Clean Data'!G16)</f>
        <v>REJECTED</v>
      </c>
      <c r="E17">
        <v>1</v>
      </c>
      <c r="F17" t="s">
        <v>353</v>
      </c>
      <c r="G17">
        <f>COUNTA('Clean Data'!A2:A294)</f>
        <v>293</v>
      </c>
    </row>
    <row r="18" spans="1:7">
      <c r="A18" t="str">
        <f>'Clean Data'!C17</f>
        <v>Sales</v>
      </c>
      <c r="B18" t="str">
        <f t="shared" si="0"/>
        <v>Sales</v>
      </c>
      <c r="C18" t="str">
        <f t="shared" si="1"/>
        <v>Sales</v>
      </c>
      <c r="D18" t="str">
        <f>UPPER('Clean Data'!G17)</f>
        <v>SHORTLISTED</v>
      </c>
      <c r="E18">
        <v>2</v>
      </c>
      <c r="F18" t="s">
        <v>354</v>
      </c>
      <c r="G18">
        <f>COUNTIF('Clean Data'!G2:G294,"Hired")</f>
        <v>85</v>
      </c>
    </row>
    <row r="19" spans="1:7">
      <c r="A19" t="str">
        <f>'Clean Data'!C18</f>
        <v>Administration</v>
      </c>
      <c r="B19" t="str">
        <f t="shared" si="0"/>
        <v>Administration</v>
      </c>
      <c r="C19" t="str">
        <f t="shared" si="1"/>
        <v>Administration</v>
      </c>
      <c r="D19" t="str">
        <f>UPPER('Clean Data'!G18)</f>
        <v>HIRED</v>
      </c>
      <c r="E19">
        <v>3</v>
      </c>
      <c r="F19" t="s">
        <v>355</v>
      </c>
      <c r="G19" s="2">
        <f>AVERAGE('Clean Data'!D2:D294)</f>
        <v>7.5239726027397262</v>
      </c>
    </row>
    <row r="20" spans="1:7">
      <c r="A20" t="str">
        <f>'Clean Data'!C19</f>
        <v>Operations</v>
      </c>
      <c r="B20" t="str">
        <f t="shared" si="0"/>
        <v>Operations</v>
      </c>
      <c r="C20" t="str">
        <f t="shared" si="1"/>
        <v>Operations</v>
      </c>
      <c r="D20" t="str">
        <f>UPPER('Clean Data'!G19)</f>
        <v>REJECTED</v>
      </c>
      <c r="E20">
        <v>4</v>
      </c>
      <c r="F20" t="s">
        <v>356</v>
      </c>
      <c r="G20" s="2">
        <f>AVERAGE('Clean Data'!F2:F294)</f>
        <v>72.919112627986365</v>
      </c>
    </row>
    <row r="21" spans="1:7">
      <c r="A21" t="str">
        <f>'Clean Data'!C20</f>
        <v>HR</v>
      </c>
      <c r="B21" t="str">
        <f t="shared" si="0"/>
        <v>HR</v>
      </c>
      <c r="C21" t="str">
        <f t="shared" si="1"/>
        <v>Hr</v>
      </c>
      <c r="D21" t="str">
        <f>UPPER('Clean Data'!G20)</f>
        <v>SHORTLISTED</v>
      </c>
    </row>
    <row r="22" spans="1:7">
      <c r="A22" t="str">
        <f>'Clean Data'!C21</f>
        <v>IT</v>
      </c>
      <c r="B22" t="str">
        <f t="shared" si="0"/>
        <v>IT</v>
      </c>
      <c r="C22" t="str">
        <f t="shared" si="1"/>
        <v>It</v>
      </c>
      <c r="D22" t="str">
        <f>UPPER('Clean Data'!G21)</f>
        <v>SHORTLISTED</v>
      </c>
    </row>
    <row r="23" spans="1:7">
      <c r="A23" t="str">
        <f>'Clean Data'!C22</f>
        <v>Sales</v>
      </c>
      <c r="B23" t="str">
        <f t="shared" si="0"/>
        <v>Sales</v>
      </c>
      <c r="C23" t="str">
        <f t="shared" si="1"/>
        <v>Sales</v>
      </c>
      <c r="D23" t="str">
        <f>UPPER('Clean Data'!G22)</f>
        <v>SHORTLISTED</v>
      </c>
    </row>
    <row r="24" spans="1:7">
      <c r="A24" t="str">
        <f>'Clean Data'!C23</f>
        <v>HR</v>
      </c>
      <c r="B24" t="str">
        <f t="shared" si="0"/>
        <v>HR</v>
      </c>
      <c r="C24" t="str">
        <f t="shared" si="1"/>
        <v>Hr</v>
      </c>
      <c r="D24" t="str">
        <f>UPPER('Clean Data'!G23)</f>
        <v>SHORTLISTED</v>
      </c>
    </row>
    <row r="25" spans="1:7">
      <c r="A25" t="str">
        <f>'Clean Data'!C24</f>
        <v>Administration</v>
      </c>
      <c r="B25" t="str">
        <f t="shared" si="0"/>
        <v>Administration</v>
      </c>
      <c r="C25" t="str">
        <f t="shared" si="1"/>
        <v>Administration</v>
      </c>
      <c r="D25" t="str">
        <f>UPPER('Clean Data'!G24)</f>
        <v>HIRED</v>
      </c>
    </row>
    <row r="26" spans="1:7">
      <c r="A26" t="str">
        <f>'Clean Data'!C25</f>
        <v>Operations</v>
      </c>
      <c r="B26" t="str">
        <f t="shared" si="0"/>
        <v>Operations</v>
      </c>
      <c r="C26" t="str">
        <f t="shared" si="1"/>
        <v>Operations</v>
      </c>
      <c r="D26" t="str">
        <f>UPPER('Clean Data'!G25)</f>
        <v>SHORTLISTED</v>
      </c>
    </row>
    <row r="27" spans="1:7">
      <c r="A27" t="str">
        <f>'Clean Data'!C26</f>
        <v>Operations</v>
      </c>
      <c r="B27" t="str">
        <f t="shared" si="0"/>
        <v>Operations</v>
      </c>
      <c r="C27" t="str">
        <f t="shared" si="1"/>
        <v>Operations</v>
      </c>
      <c r="D27" t="str">
        <f>UPPER('Clean Data'!G26)</f>
        <v>PENDING</v>
      </c>
    </row>
    <row r="28" spans="1:7">
      <c r="A28" t="str">
        <f>'Clean Data'!C27</f>
        <v>Administration</v>
      </c>
      <c r="B28" t="str">
        <f t="shared" si="0"/>
        <v>Administration</v>
      </c>
      <c r="C28" t="str">
        <f t="shared" si="1"/>
        <v>Administration</v>
      </c>
      <c r="D28" t="str">
        <f>UPPER('Clean Data'!G27)</f>
        <v>REJECTED</v>
      </c>
    </row>
    <row r="29" spans="1:7">
      <c r="A29" t="str">
        <f>'Clean Data'!C28</f>
        <v>Finance</v>
      </c>
      <c r="B29" t="str">
        <f t="shared" si="0"/>
        <v>Finance</v>
      </c>
      <c r="C29" t="str">
        <f t="shared" si="1"/>
        <v>Finance</v>
      </c>
      <c r="D29" t="str">
        <f>UPPER('Clean Data'!G28)</f>
        <v>REJECTED</v>
      </c>
    </row>
    <row r="30" spans="1:7">
      <c r="A30" t="str">
        <f>'Clean Data'!C29</f>
        <v>Sales</v>
      </c>
      <c r="B30" t="str">
        <f t="shared" si="0"/>
        <v>Sales</v>
      </c>
      <c r="C30" t="str">
        <f t="shared" si="1"/>
        <v>Sales</v>
      </c>
      <c r="D30" t="str">
        <f>UPPER('Clean Data'!G29)</f>
        <v>HIRED</v>
      </c>
    </row>
    <row r="31" spans="1:7">
      <c r="A31" t="str">
        <f>'Clean Data'!C30</f>
        <v>Sales</v>
      </c>
      <c r="B31" t="str">
        <f t="shared" si="0"/>
        <v>Sales</v>
      </c>
      <c r="C31" t="str">
        <f t="shared" si="1"/>
        <v>Sales</v>
      </c>
      <c r="D31" t="str">
        <f>UPPER('Clean Data'!G30)</f>
        <v>HIRED</v>
      </c>
    </row>
    <row r="32" spans="1:7">
      <c r="A32" t="str">
        <f>'Clean Data'!C31</f>
        <v>IT</v>
      </c>
      <c r="B32" t="str">
        <f t="shared" si="0"/>
        <v>IT</v>
      </c>
      <c r="C32" t="str">
        <f t="shared" si="1"/>
        <v>It</v>
      </c>
      <c r="D32" t="str">
        <f>UPPER('Clean Data'!G31)</f>
        <v>HIRED</v>
      </c>
    </row>
    <row r="33" spans="1:4">
      <c r="A33" t="str">
        <f>'Clean Data'!C32</f>
        <v>HR</v>
      </c>
      <c r="B33" t="str">
        <f t="shared" si="0"/>
        <v>HR</v>
      </c>
      <c r="C33" t="str">
        <f t="shared" si="1"/>
        <v>Hr</v>
      </c>
      <c r="D33" t="str">
        <f>UPPER('Clean Data'!G32)</f>
        <v>PENDING</v>
      </c>
    </row>
    <row r="34" spans="1:4">
      <c r="A34" t="str">
        <f>'Clean Data'!C33</f>
        <v>Finance</v>
      </c>
      <c r="B34" t="str">
        <f t="shared" si="0"/>
        <v>Finance</v>
      </c>
      <c r="C34" t="str">
        <f t="shared" si="1"/>
        <v>Finance</v>
      </c>
      <c r="D34" t="str">
        <f>UPPER('Clean Data'!G33)</f>
        <v>PENDING</v>
      </c>
    </row>
    <row r="35" spans="1:4">
      <c r="A35" t="str">
        <f>'Clean Data'!C34</f>
        <v>Administration</v>
      </c>
      <c r="B35" t="str">
        <f t="shared" si="0"/>
        <v>Administration</v>
      </c>
      <c r="C35" t="str">
        <f t="shared" si="1"/>
        <v>Administration</v>
      </c>
      <c r="D35" t="str">
        <f>UPPER('Clean Data'!G34)</f>
        <v>SHORTLISTED</v>
      </c>
    </row>
    <row r="36" spans="1:4">
      <c r="A36" t="str">
        <f>'Clean Data'!C35</f>
        <v>Operations</v>
      </c>
      <c r="B36" t="str">
        <f t="shared" si="0"/>
        <v>Operations</v>
      </c>
      <c r="C36" t="str">
        <f t="shared" si="1"/>
        <v>Operations</v>
      </c>
      <c r="D36" t="str">
        <f>UPPER('Clean Data'!G35)</f>
        <v>PENDING</v>
      </c>
    </row>
    <row r="37" spans="1:4">
      <c r="A37" t="str">
        <f>'Clean Data'!C36</f>
        <v>IT</v>
      </c>
      <c r="B37" t="str">
        <f t="shared" si="0"/>
        <v>IT</v>
      </c>
      <c r="C37" t="str">
        <f t="shared" si="1"/>
        <v>It</v>
      </c>
      <c r="D37" t="str">
        <f>UPPER('Clean Data'!G36)</f>
        <v>REJECTED</v>
      </c>
    </row>
    <row r="38" spans="1:4">
      <c r="A38" t="str">
        <f>'Clean Data'!C37</f>
        <v>Administration</v>
      </c>
      <c r="B38" t="str">
        <f t="shared" si="0"/>
        <v>Administration</v>
      </c>
      <c r="C38" t="str">
        <f t="shared" si="1"/>
        <v>Administration</v>
      </c>
      <c r="D38" t="str">
        <f>UPPER('Clean Data'!G37)</f>
        <v>HIRED</v>
      </c>
    </row>
    <row r="39" spans="1:4">
      <c r="A39" t="str">
        <f>'Clean Data'!C38</f>
        <v>HR</v>
      </c>
      <c r="B39" t="str">
        <f t="shared" si="0"/>
        <v>HR</v>
      </c>
      <c r="C39" t="str">
        <f t="shared" si="1"/>
        <v>Hr</v>
      </c>
      <c r="D39" t="str">
        <f>UPPER('Clean Data'!G38)</f>
        <v>SHORTLISTED</v>
      </c>
    </row>
    <row r="40" spans="1:4">
      <c r="A40" t="str">
        <f>'Clean Data'!C39</f>
        <v>IT</v>
      </c>
      <c r="B40" t="str">
        <f t="shared" si="0"/>
        <v>IT</v>
      </c>
      <c r="C40" t="str">
        <f t="shared" si="1"/>
        <v>It</v>
      </c>
      <c r="D40" t="str">
        <f>UPPER('Clean Data'!G39)</f>
        <v>HIRED</v>
      </c>
    </row>
    <row r="41" spans="1:4">
      <c r="A41" t="str">
        <f>'Clean Data'!C40</f>
        <v>Administration</v>
      </c>
      <c r="B41" t="str">
        <f t="shared" si="0"/>
        <v>Administration</v>
      </c>
      <c r="C41" t="str">
        <f t="shared" si="1"/>
        <v>Administration</v>
      </c>
      <c r="D41" t="str">
        <f>UPPER('Clean Data'!G40)</f>
        <v>REJECTED</v>
      </c>
    </row>
    <row r="42" spans="1:4">
      <c r="A42" t="str">
        <f>'Clean Data'!C41</f>
        <v>Finance</v>
      </c>
      <c r="B42" t="str">
        <f t="shared" si="0"/>
        <v>Finance</v>
      </c>
      <c r="C42" t="str">
        <f t="shared" si="1"/>
        <v>Finance</v>
      </c>
      <c r="D42" t="str">
        <f>UPPER('Clean Data'!G41)</f>
        <v>SHORTLISTED</v>
      </c>
    </row>
    <row r="43" spans="1:4">
      <c r="A43" t="str">
        <f>'Clean Data'!C42</f>
        <v>IT</v>
      </c>
      <c r="B43" t="str">
        <f t="shared" si="0"/>
        <v>IT</v>
      </c>
      <c r="C43" t="str">
        <f t="shared" si="1"/>
        <v>It</v>
      </c>
      <c r="D43" t="str">
        <f>UPPER('Clean Data'!G42)</f>
        <v>PENDING</v>
      </c>
    </row>
    <row r="44" spans="1:4">
      <c r="A44" t="str">
        <f>'Clean Data'!C43</f>
        <v>IT</v>
      </c>
      <c r="B44" t="str">
        <f t="shared" si="0"/>
        <v>IT</v>
      </c>
      <c r="C44" t="str">
        <f t="shared" si="1"/>
        <v>It</v>
      </c>
      <c r="D44" t="str">
        <f>UPPER('Clean Data'!G43)</f>
        <v>SHORTLISTED</v>
      </c>
    </row>
    <row r="45" spans="1:4">
      <c r="A45" t="str">
        <f>'Clean Data'!C44</f>
        <v>Sales</v>
      </c>
      <c r="B45" t="str">
        <f t="shared" si="0"/>
        <v>Sales</v>
      </c>
      <c r="C45" t="str">
        <f t="shared" si="1"/>
        <v>Sales</v>
      </c>
      <c r="D45" t="str">
        <f>UPPER('Clean Data'!G44)</f>
        <v>REJECTED</v>
      </c>
    </row>
    <row r="46" spans="1:4">
      <c r="A46" t="str">
        <f>'Clean Data'!C45</f>
        <v>Finance</v>
      </c>
      <c r="B46" t="str">
        <f t="shared" si="0"/>
        <v>Finance</v>
      </c>
      <c r="C46" t="str">
        <f t="shared" si="1"/>
        <v>Finance</v>
      </c>
      <c r="D46" t="str">
        <f>UPPER('Clean Data'!G45)</f>
        <v>HIRED</v>
      </c>
    </row>
    <row r="47" spans="1:4">
      <c r="A47" t="str">
        <f>'Clean Data'!C46</f>
        <v>Administration</v>
      </c>
      <c r="B47" t="str">
        <f t="shared" si="0"/>
        <v>Administration</v>
      </c>
      <c r="C47" t="str">
        <f t="shared" si="1"/>
        <v>Administration</v>
      </c>
      <c r="D47" t="str">
        <f>UPPER('Clean Data'!G46)</f>
        <v>SHORTLISTED</v>
      </c>
    </row>
    <row r="48" spans="1:4">
      <c r="A48" t="str">
        <f>'Clean Data'!C47</f>
        <v>Unknown</v>
      </c>
      <c r="B48" t="str">
        <f t="shared" si="0"/>
        <v>Unknown</v>
      </c>
      <c r="C48" t="str">
        <f t="shared" si="1"/>
        <v>Unknown</v>
      </c>
      <c r="D48" t="str">
        <f>UPPER('Clean Data'!G47)</f>
        <v>SHORTLISTED</v>
      </c>
    </row>
    <row r="49" spans="1:4">
      <c r="A49" t="str">
        <f>'Clean Data'!C48</f>
        <v>Operations</v>
      </c>
      <c r="B49" t="str">
        <f t="shared" si="0"/>
        <v>Operations</v>
      </c>
      <c r="C49" t="str">
        <f t="shared" si="1"/>
        <v>Operations</v>
      </c>
      <c r="D49" t="str">
        <f>UPPER('Clean Data'!G48)</f>
        <v>SHORTLISTED</v>
      </c>
    </row>
    <row r="50" spans="1:4">
      <c r="A50" t="str">
        <f>'Clean Data'!C49</f>
        <v>HR</v>
      </c>
      <c r="B50" t="str">
        <f t="shared" si="0"/>
        <v>HR</v>
      </c>
      <c r="C50" t="str">
        <f t="shared" si="1"/>
        <v>Hr</v>
      </c>
      <c r="D50" t="str">
        <f>UPPER('Clean Data'!G49)</f>
        <v>SHORTLISTED</v>
      </c>
    </row>
    <row r="51" spans="1:4">
      <c r="A51" t="str">
        <f>'Clean Data'!C50</f>
        <v>Administration</v>
      </c>
      <c r="B51" t="str">
        <f t="shared" si="0"/>
        <v>Administration</v>
      </c>
      <c r="C51" t="str">
        <f t="shared" si="1"/>
        <v>Administration</v>
      </c>
      <c r="D51" t="str">
        <f>UPPER('Clean Data'!G50)</f>
        <v>HIRED</v>
      </c>
    </row>
    <row r="52" spans="1:4">
      <c r="A52" t="str">
        <f>'Clean Data'!C51</f>
        <v>Administration</v>
      </c>
      <c r="B52" t="str">
        <f t="shared" si="0"/>
        <v>Administration</v>
      </c>
      <c r="C52" t="str">
        <f t="shared" si="1"/>
        <v>Administration</v>
      </c>
      <c r="D52" t="str">
        <f>UPPER('Clean Data'!G51)</f>
        <v>HIRED</v>
      </c>
    </row>
    <row r="53" spans="1:4">
      <c r="A53" t="str">
        <f>'Clean Data'!C52</f>
        <v>HR</v>
      </c>
      <c r="B53" t="str">
        <f t="shared" si="0"/>
        <v>HR</v>
      </c>
      <c r="C53" t="str">
        <f t="shared" si="1"/>
        <v>Hr</v>
      </c>
      <c r="D53" t="str">
        <f>UPPER('Clean Data'!G52)</f>
        <v>SHORTLISTED</v>
      </c>
    </row>
    <row r="54" spans="1:4">
      <c r="A54" t="str">
        <f>'Clean Data'!C53</f>
        <v>Operations</v>
      </c>
      <c r="B54" t="str">
        <f t="shared" si="0"/>
        <v>Operations</v>
      </c>
      <c r="C54" t="str">
        <f t="shared" si="1"/>
        <v>Operations</v>
      </c>
      <c r="D54" t="str">
        <f>UPPER('Clean Data'!G53)</f>
        <v>HIRED</v>
      </c>
    </row>
    <row r="55" spans="1:4">
      <c r="A55" t="str">
        <f>'Clean Data'!C54</f>
        <v>Administration</v>
      </c>
      <c r="B55" t="str">
        <f t="shared" si="0"/>
        <v>Administration</v>
      </c>
      <c r="C55" t="str">
        <f t="shared" si="1"/>
        <v>Administration</v>
      </c>
      <c r="D55" t="str">
        <f>UPPER('Clean Data'!G54)</f>
        <v>PENDING</v>
      </c>
    </row>
    <row r="56" spans="1:4">
      <c r="A56" t="str">
        <f>'Clean Data'!C55</f>
        <v>IT</v>
      </c>
      <c r="B56" t="str">
        <f t="shared" si="0"/>
        <v>IT</v>
      </c>
      <c r="C56" t="str">
        <f t="shared" si="1"/>
        <v>It</v>
      </c>
      <c r="D56" t="str">
        <f>UPPER('Clean Data'!G55)</f>
        <v>PENDING</v>
      </c>
    </row>
    <row r="57" spans="1:4">
      <c r="A57" t="str">
        <f>'Clean Data'!C56</f>
        <v>Unknown</v>
      </c>
      <c r="B57" t="str">
        <f t="shared" si="0"/>
        <v>Unknown</v>
      </c>
      <c r="C57" t="str">
        <f t="shared" si="1"/>
        <v>Unknown</v>
      </c>
      <c r="D57" t="str">
        <f>UPPER('Clean Data'!G56)</f>
        <v>SHORTLISTED</v>
      </c>
    </row>
    <row r="58" spans="1:4">
      <c r="A58" t="str">
        <f>'Clean Data'!C57</f>
        <v>Administration</v>
      </c>
      <c r="B58" t="str">
        <f t="shared" si="0"/>
        <v>Administration</v>
      </c>
      <c r="C58" t="str">
        <f t="shared" si="1"/>
        <v>Administration</v>
      </c>
      <c r="D58" t="str">
        <f>UPPER('Clean Data'!G57)</f>
        <v>REJECTED</v>
      </c>
    </row>
    <row r="59" spans="1:4">
      <c r="A59" t="str">
        <f>'Clean Data'!C58</f>
        <v>IT</v>
      </c>
      <c r="B59" t="str">
        <f t="shared" si="0"/>
        <v>IT</v>
      </c>
      <c r="C59" t="str">
        <f t="shared" si="1"/>
        <v>It</v>
      </c>
      <c r="D59" t="str">
        <f>UPPER('Clean Data'!G58)</f>
        <v>SHORTLISTED</v>
      </c>
    </row>
    <row r="60" spans="1:4">
      <c r="A60" t="str">
        <f>'Clean Data'!C59</f>
        <v>Sales</v>
      </c>
      <c r="B60" t="str">
        <f t="shared" si="0"/>
        <v>Sales</v>
      </c>
      <c r="C60" t="str">
        <f t="shared" si="1"/>
        <v>Sales</v>
      </c>
      <c r="D60" t="str">
        <f>UPPER('Clean Data'!G59)</f>
        <v>HIRED</v>
      </c>
    </row>
    <row r="61" spans="1:4">
      <c r="A61" t="str">
        <f>'Clean Data'!C60</f>
        <v>HR</v>
      </c>
      <c r="B61" t="str">
        <f t="shared" si="0"/>
        <v>HR</v>
      </c>
      <c r="C61" t="str">
        <f t="shared" si="1"/>
        <v>Hr</v>
      </c>
      <c r="D61" t="str">
        <f>UPPER('Clean Data'!G60)</f>
        <v>SHORTLISTED</v>
      </c>
    </row>
    <row r="62" spans="1:4">
      <c r="A62" t="str">
        <f>'Clean Data'!C61</f>
        <v>Sales</v>
      </c>
      <c r="B62" t="str">
        <f t="shared" si="0"/>
        <v>Sales</v>
      </c>
      <c r="C62" t="str">
        <f t="shared" si="1"/>
        <v>Sales</v>
      </c>
      <c r="D62" t="str">
        <f>UPPER('Clean Data'!G61)</f>
        <v>REJECTED</v>
      </c>
    </row>
    <row r="63" spans="1:4">
      <c r="A63" t="str">
        <f>'Clean Data'!C62</f>
        <v>Sales</v>
      </c>
      <c r="B63" t="str">
        <f t="shared" si="0"/>
        <v>Sales</v>
      </c>
      <c r="C63" t="str">
        <f t="shared" si="1"/>
        <v>Sales</v>
      </c>
      <c r="D63" t="str">
        <f>UPPER('Clean Data'!G62)</f>
        <v>HIRED</v>
      </c>
    </row>
    <row r="64" spans="1:4">
      <c r="A64" t="str">
        <f>'Clean Data'!C63</f>
        <v>Sales</v>
      </c>
      <c r="B64" t="str">
        <f t="shared" si="0"/>
        <v>Sales</v>
      </c>
      <c r="C64" t="str">
        <f t="shared" si="1"/>
        <v>Sales</v>
      </c>
      <c r="D64" t="str">
        <f>UPPER('Clean Data'!G63)</f>
        <v>HIRED</v>
      </c>
    </row>
    <row r="65" spans="1:4">
      <c r="A65" t="str">
        <f>'Clean Data'!C64</f>
        <v>Operations</v>
      </c>
      <c r="B65" t="str">
        <f t="shared" si="0"/>
        <v>Operations</v>
      </c>
      <c r="C65" t="str">
        <f t="shared" si="1"/>
        <v>Operations</v>
      </c>
      <c r="D65" t="str">
        <f>UPPER('Clean Data'!G64)</f>
        <v>SHORTLISTED</v>
      </c>
    </row>
    <row r="66" spans="1:4">
      <c r="A66" t="str">
        <f>'Clean Data'!C65</f>
        <v>Operations</v>
      </c>
      <c r="B66" t="str">
        <f t="shared" si="0"/>
        <v>Operations</v>
      </c>
      <c r="C66" t="str">
        <f t="shared" si="1"/>
        <v>Operations</v>
      </c>
      <c r="D66" t="str">
        <f>UPPER('Clean Data'!G65)</f>
        <v>HIRED</v>
      </c>
    </row>
    <row r="67" spans="1:4">
      <c r="A67" t="str">
        <f>'Clean Data'!C66</f>
        <v>IT</v>
      </c>
      <c r="B67" t="str">
        <f t="shared" si="0"/>
        <v>IT</v>
      </c>
      <c r="C67" t="str">
        <f t="shared" si="1"/>
        <v>It</v>
      </c>
      <c r="D67" t="str">
        <f>UPPER('Clean Data'!G66)</f>
        <v>HIRED</v>
      </c>
    </row>
    <row r="68" spans="1:4">
      <c r="A68" t="str">
        <f>'Clean Data'!C67</f>
        <v>HR</v>
      </c>
      <c r="B68" t="str">
        <f t="shared" ref="B68:B131" si="2">TRIM(A68)</f>
        <v>HR</v>
      </c>
      <c r="C68" t="str">
        <f t="shared" ref="C68:C131" si="3">PROPER(B68)</f>
        <v>Hr</v>
      </c>
      <c r="D68" t="str">
        <f>UPPER('Clean Data'!G67)</f>
        <v>PENDING</v>
      </c>
    </row>
    <row r="69" spans="1:4">
      <c r="A69" t="str">
        <f>'Clean Data'!C68</f>
        <v>IT</v>
      </c>
      <c r="B69" t="str">
        <f t="shared" si="2"/>
        <v>IT</v>
      </c>
      <c r="C69" t="str">
        <f t="shared" si="3"/>
        <v>It</v>
      </c>
      <c r="D69" t="str">
        <f>UPPER('Clean Data'!G68)</f>
        <v>SHORTLISTED</v>
      </c>
    </row>
    <row r="70" spans="1:4">
      <c r="A70" t="str">
        <f>'Clean Data'!C69</f>
        <v>Administration</v>
      </c>
      <c r="B70" t="str">
        <f t="shared" si="2"/>
        <v>Administration</v>
      </c>
      <c r="C70" t="str">
        <f t="shared" si="3"/>
        <v>Administration</v>
      </c>
      <c r="D70" t="str">
        <f>UPPER('Clean Data'!G69)</f>
        <v>REJECTED</v>
      </c>
    </row>
    <row r="71" spans="1:4">
      <c r="A71" t="str">
        <f>'Clean Data'!C70</f>
        <v>Sales</v>
      </c>
      <c r="B71" t="str">
        <f t="shared" si="2"/>
        <v>Sales</v>
      </c>
      <c r="C71" t="str">
        <f t="shared" si="3"/>
        <v>Sales</v>
      </c>
      <c r="D71" t="str">
        <f>UPPER('Clean Data'!G70)</f>
        <v>HIRED</v>
      </c>
    </row>
    <row r="72" spans="1:4">
      <c r="A72" t="str">
        <f>'Clean Data'!C71</f>
        <v>Sales</v>
      </c>
      <c r="B72" t="str">
        <f t="shared" si="2"/>
        <v>Sales</v>
      </c>
      <c r="C72" t="str">
        <f t="shared" si="3"/>
        <v>Sales</v>
      </c>
      <c r="D72" t="str">
        <f>UPPER('Clean Data'!G71)</f>
        <v>REJECTED</v>
      </c>
    </row>
    <row r="73" spans="1:4">
      <c r="A73" t="str">
        <f>'Clean Data'!C72</f>
        <v>IT</v>
      </c>
      <c r="B73" t="str">
        <f t="shared" si="2"/>
        <v>IT</v>
      </c>
      <c r="C73" t="str">
        <f t="shared" si="3"/>
        <v>It</v>
      </c>
      <c r="D73" t="str">
        <f>UPPER('Clean Data'!G72)</f>
        <v>REJECTED</v>
      </c>
    </row>
    <row r="74" spans="1:4">
      <c r="A74" t="str">
        <f>'Clean Data'!C73</f>
        <v>Finance</v>
      </c>
      <c r="B74" t="str">
        <f t="shared" si="2"/>
        <v>Finance</v>
      </c>
      <c r="C74" t="str">
        <f t="shared" si="3"/>
        <v>Finance</v>
      </c>
      <c r="D74" t="str">
        <f>UPPER('Clean Data'!G73)</f>
        <v>REJECTED</v>
      </c>
    </row>
    <row r="75" spans="1:4">
      <c r="A75" t="str">
        <f>'Clean Data'!C74</f>
        <v>Sales</v>
      </c>
      <c r="B75" t="str">
        <f t="shared" si="2"/>
        <v>Sales</v>
      </c>
      <c r="C75" t="str">
        <f t="shared" si="3"/>
        <v>Sales</v>
      </c>
      <c r="D75" t="str">
        <f>UPPER('Clean Data'!G74)</f>
        <v>HIRED</v>
      </c>
    </row>
    <row r="76" spans="1:4">
      <c r="A76" t="str">
        <f>'Clean Data'!C75</f>
        <v>Operations</v>
      </c>
      <c r="B76" t="str">
        <f t="shared" si="2"/>
        <v>Operations</v>
      </c>
      <c r="C76" t="str">
        <f t="shared" si="3"/>
        <v>Operations</v>
      </c>
      <c r="D76" t="str">
        <f>UPPER('Clean Data'!G75)</f>
        <v>HIRED</v>
      </c>
    </row>
    <row r="77" spans="1:4">
      <c r="A77" t="str">
        <f>'Clean Data'!C76</f>
        <v>Unknown</v>
      </c>
      <c r="B77" t="str">
        <f t="shared" si="2"/>
        <v>Unknown</v>
      </c>
      <c r="C77" t="str">
        <f t="shared" si="3"/>
        <v>Unknown</v>
      </c>
      <c r="D77" t="str">
        <f>UPPER('Clean Data'!G76)</f>
        <v>REJECTED</v>
      </c>
    </row>
    <row r="78" spans="1:4">
      <c r="A78" t="str">
        <f>'Clean Data'!C77</f>
        <v>IT</v>
      </c>
      <c r="B78" t="str">
        <f t="shared" si="2"/>
        <v>IT</v>
      </c>
      <c r="C78" t="str">
        <f t="shared" si="3"/>
        <v>It</v>
      </c>
      <c r="D78" t="str">
        <f>UPPER('Clean Data'!G77)</f>
        <v>PENDING</v>
      </c>
    </row>
    <row r="79" spans="1:4">
      <c r="A79" t="str">
        <f>'Clean Data'!C78</f>
        <v>IT</v>
      </c>
      <c r="B79" t="str">
        <f t="shared" si="2"/>
        <v>IT</v>
      </c>
      <c r="C79" t="str">
        <f t="shared" si="3"/>
        <v>It</v>
      </c>
      <c r="D79" t="str">
        <f>UPPER('Clean Data'!G78)</f>
        <v>PENDING</v>
      </c>
    </row>
    <row r="80" spans="1:4">
      <c r="A80" t="str">
        <f>'Clean Data'!C79</f>
        <v>Operations</v>
      </c>
      <c r="B80" t="str">
        <f t="shared" si="2"/>
        <v>Operations</v>
      </c>
      <c r="C80" t="str">
        <f t="shared" si="3"/>
        <v>Operations</v>
      </c>
      <c r="D80" t="str">
        <f>UPPER('Clean Data'!G79)</f>
        <v>HIRED</v>
      </c>
    </row>
    <row r="81" spans="1:4">
      <c r="A81" t="str">
        <f>'Clean Data'!C80</f>
        <v>Operations</v>
      </c>
      <c r="B81" t="str">
        <f t="shared" si="2"/>
        <v>Operations</v>
      </c>
      <c r="C81" t="str">
        <f t="shared" si="3"/>
        <v>Operations</v>
      </c>
      <c r="D81" t="str">
        <f>UPPER('Clean Data'!G80)</f>
        <v>PENDING</v>
      </c>
    </row>
    <row r="82" spans="1:4">
      <c r="A82" t="str">
        <f>'Clean Data'!C81</f>
        <v>HR</v>
      </c>
      <c r="B82" t="str">
        <f t="shared" si="2"/>
        <v>HR</v>
      </c>
      <c r="C82" t="str">
        <f t="shared" si="3"/>
        <v>Hr</v>
      </c>
      <c r="D82" t="str">
        <f>UPPER('Clean Data'!G81)</f>
        <v>REJECTED</v>
      </c>
    </row>
    <row r="83" spans="1:4">
      <c r="A83" t="str">
        <f>'Clean Data'!C82</f>
        <v>Administration</v>
      </c>
      <c r="B83" t="str">
        <f t="shared" si="2"/>
        <v>Administration</v>
      </c>
      <c r="C83" t="str">
        <f t="shared" si="3"/>
        <v>Administration</v>
      </c>
      <c r="D83" t="str">
        <f>UPPER('Clean Data'!G82)</f>
        <v>PENDING</v>
      </c>
    </row>
    <row r="84" spans="1:4">
      <c r="A84" t="str">
        <f>'Clean Data'!C83</f>
        <v>Administration</v>
      </c>
      <c r="B84" t="str">
        <f t="shared" si="2"/>
        <v>Administration</v>
      </c>
      <c r="C84" t="str">
        <f t="shared" si="3"/>
        <v>Administration</v>
      </c>
      <c r="D84" t="str">
        <f>UPPER('Clean Data'!G83)</f>
        <v>SHORTLISTED</v>
      </c>
    </row>
    <row r="85" spans="1:4">
      <c r="A85" t="str">
        <f>'Clean Data'!C84</f>
        <v>Finance</v>
      </c>
      <c r="B85" t="str">
        <f t="shared" si="2"/>
        <v>Finance</v>
      </c>
      <c r="C85" t="str">
        <f t="shared" si="3"/>
        <v>Finance</v>
      </c>
      <c r="D85" t="str">
        <f>UPPER('Clean Data'!G84)</f>
        <v>PENDING</v>
      </c>
    </row>
    <row r="86" spans="1:4">
      <c r="A86" t="str">
        <f>'Clean Data'!C85</f>
        <v>Operations</v>
      </c>
      <c r="B86" t="str">
        <f t="shared" si="2"/>
        <v>Operations</v>
      </c>
      <c r="C86" t="str">
        <f t="shared" si="3"/>
        <v>Operations</v>
      </c>
      <c r="D86" t="str">
        <f>UPPER('Clean Data'!G85)</f>
        <v>PENDING</v>
      </c>
    </row>
    <row r="87" spans="1:4">
      <c r="A87" t="str">
        <f>'Clean Data'!C86</f>
        <v>HR</v>
      </c>
      <c r="B87" t="str">
        <f t="shared" si="2"/>
        <v>HR</v>
      </c>
      <c r="C87" t="str">
        <f t="shared" si="3"/>
        <v>Hr</v>
      </c>
      <c r="D87" t="str">
        <f>UPPER('Clean Data'!G86)</f>
        <v>SHORTLISTED</v>
      </c>
    </row>
    <row r="88" spans="1:4">
      <c r="A88" t="str">
        <f>'Clean Data'!C87</f>
        <v>HR</v>
      </c>
      <c r="B88" t="str">
        <f t="shared" si="2"/>
        <v>HR</v>
      </c>
      <c r="C88" t="str">
        <f t="shared" si="3"/>
        <v>Hr</v>
      </c>
      <c r="D88" t="str">
        <f>UPPER('Clean Data'!G87)</f>
        <v>PENDING</v>
      </c>
    </row>
    <row r="89" spans="1:4">
      <c r="A89" t="str">
        <f>'Clean Data'!C88</f>
        <v>Finance</v>
      </c>
      <c r="B89" t="str">
        <f t="shared" si="2"/>
        <v>Finance</v>
      </c>
      <c r="C89" t="str">
        <f t="shared" si="3"/>
        <v>Finance</v>
      </c>
      <c r="D89" t="str">
        <f>UPPER('Clean Data'!G88)</f>
        <v>REJECTED</v>
      </c>
    </row>
    <row r="90" spans="1:4">
      <c r="A90" t="str">
        <f>'Clean Data'!C89</f>
        <v>Operations</v>
      </c>
      <c r="B90" t="str">
        <f t="shared" si="2"/>
        <v>Operations</v>
      </c>
      <c r="C90" t="str">
        <f t="shared" si="3"/>
        <v>Operations</v>
      </c>
      <c r="D90" t="str">
        <f>UPPER('Clean Data'!G89)</f>
        <v>REJECTED</v>
      </c>
    </row>
    <row r="91" spans="1:4">
      <c r="A91" t="str">
        <f>'Clean Data'!C90</f>
        <v>Operations</v>
      </c>
      <c r="B91" t="str">
        <f t="shared" si="2"/>
        <v>Operations</v>
      </c>
      <c r="C91" t="str">
        <f t="shared" si="3"/>
        <v>Operations</v>
      </c>
      <c r="D91" t="str">
        <f>UPPER('Clean Data'!G90)</f>
        <v>SHORTLISTED</v>
      </c>
    </row>
    <row r="92" spans="1:4">
      <c r="A92" t="str">
        <f>'Clean Data'!C91</f>
        <v>Operations</v>
      </c>
      <c r="B92" t="str">
        <f t="shared" si="2"/>
        <v>Operations</v>
      </c>
      <c r="C92" t="str">
        <f t="shared" si="3"/>
        <v>Operations</v>
      </c>
      <c r="D92" t="str">
        <f>UPPER('Clean Data'!G91)</f>
        <v>HIRED</v>
      </c>
    </row>
    <row r="93" spans="1:4">
      <c r="A93" t="str">
        <f>'Clean Data'!C92</f>
        <v>HR</v>
      </c>
      <c r="B93" t="str">
        <f t="shared" si="2"/>
        <v>HR</v>
      </c>
      <c r="C93" t="str">
        <f t="shared" si="3"/>
        <v>Hr</v>
      </c>
      <c r="D93" t="str">
        <f>UPPER('Clean Data'!G92)</f>
        <v>HIRED</v>
      </c>
    </row>
    <row r="94" spans="1:4">
      <c r="A94" t="str">
        <f>'Clean Data'!C93</f>
        <v>HR</v>
      </c>
      <c r="B94" t="str">
        <f t="shared" si="2"/>
        <v>HR</v>
      </c>
      <c r="C94" t="str">
        <f t="shared" si="3"/>
        <v>Hr</v>
      </c>
      <c r="D94" t="str">
        <f>UPPER('Clean Data'!G93)</f>
        <v>REJECTED</v>
      </c>
    </row>
    <row r="95" spans="1:4">
      <c r="A95" t="str">
        <f>'Clean Data'!C94</f>
        <v>HR</v>
      </c>
      <c r="B95" t="str">
        <f t="shared" si="2"/>
        <v>HR</v>
      </c>
      <c r="C95" t="str">
        <f t="shared" si="3"/>
        <v>Hr</v>
      </c>
      <c r="D95" t="str">
        <f>UPPER('Clean Data'!G94)</f>
        <v>REJECTED</v>
      </c>
    </row>
    <row r="96" spans="1:4">
      <c r="A96" t="str">
        <f>'Clean Data'!C95</f>
        <v>Administration</v>
      </c>
      <c r="B96" t="str">
        <f t="shared" si="2"/>
        <v>Administration</v>
      </c>
      <c r="C96" t="str">
        <f t="shared" si="3"/>
        <v>Administration</v>
      </c>
      <c r="D96" t="str">
        <f>UPPER('Clean Data'!G95)</f>
        <v>SHORTLISTED</v>
      </c>
    </row>
    <row r="97" spans="1:4">
      <c r="A97" t="str">
        <f>'Clean Data'!C96</f>
        <v>Unknown</v>
      </c>
      <c r="B97" t="str">
        <f t="shared" si="2"/>
        <v>Unknown</v>
      </c>
      <c r="C97" t="str">
        <f t="shared" si="3"/>
        <v>Unknown</v>
      </c>
      <c r="D97" t="str">
        <f>UPPER('Clean Data'!G96)</f>
        <v>HIRED</v>
      </c>
    </row>
    <row r="98" spans="1:4">
      <c r="A98" t="str">
        <f>'Clean Data'!C97</f>
        <v>IT</v>
      </c>
      <c r="B98" t="str">
        <f t="shared" si="2"/>
        <v>IT</v>
      </c>
      <c r="C98" t="str">
        <f t="shared" si="3"/>
        <v>It</v>
      </c>
      <c r="D98" t="str">
        <f>UPPER('Clean Data'!G97)</f>
        <v>HIRED</v>
      </c>
    </row>
    <row r="99" spans="1:4">
      <c r="A99" t="str">
        <f>'Clean Data'!C98</f>
        <v>Finance</v>
      </c>
      <c r="B99" t="str">
        <f t="shared" si="2"/>
        <v>Finance</v>
      </c>
      <c r="C99" t="str">
        <f t="shared" si="3"/>
        <v>Finance</v>
      </c>
      <c r="D99" t="str">
        <f>UPPER('Clean Data'!G98)</f>
        <v>HIRED</v>
      </c>
    </row>
    <row r="100" spans="1:4">
      <c r="A100" t="str">
        <f>'Clean Data'!C99</f>
        <v>IT</v>
      </c>
      <c r="B100" t="str">
        <f t="shared" si="2"/>
        <v>IT</v>
      </c>
      <c r="C100" t="str">
        <f t="shared" si="3"/>
        <v>It</v>
      </c>
      <c r="D100" t="str">
        <f>UPPER('Clean Data'!G99)</f>
        <v>HIRED</v>
      </c>
    </row>
    <row r="101" spans="1:4">
      <c r="A101" t="str">
        <f>'Clean Data'!C100</f>
        <v>Sales</v>
      </c>
      <c r="B101" t="str">
        <f t="shared" si="2"/>
        <v>Sales</v>
      </c>
      <c r="C101" t="str">
        <f t="shared" si="3"/>
        <v>Sales</v>
      </c>
      <c r="D101" t="str">
        <f>UPPER('Clean Data'!G100)</f>
        <v>SHORTLISTED</v>
      </c>
    </row>
    <row r="102" spans="1:4">
      <c r="A102" t="str">
        <f>'Clean Data'!C101</f>
        <v>Finance</v>
      </c>
      <c r="B102" t="str">
        <f t="shared" si="2"/>
        <v>Finance</v>
      </c>
      <c r="C102" t="str">
        <f t="shared" si="3"/>
        <v>Finance</v>
      </c>
      <c r="D102" t="str">
        <f>UPPER('Clean Data'!G101)</f>
        <v>SHORTLISTED</v>
      </c>
    </row>
    <row r="103" spans="1:4">
      <c r="A103" t="str">
        <f>'Clean Data'!C102</f>
        <v>Administration</v>
      </c>
      <c r="B103" t="str">
        <f t="shared" si="2"/>
        <v>Administration</v>
      </c>
      <c r="C103" t="str">
        <f t="shared" si="3"/>
        <v>Administration</v>
      </c>
      <c r="D103" t="str">
        <f>UPPER('Clean Data'!G102)</f>
        <v>SHORTLISTED</v>
      </c>
    </row>
    <row r="104" spans="1:4">
      <c r="A104" t="str">
        <f>'Clean Data'!C103</f>
        <v>Finance</v>
      </c>
      <c r="B104" t="str">
        <f t="shared" si="2"/>
        <v>Finance</v>
      </c>
      <c r="C104" t="str">
        <f t="shared" si="3"/>
        <v>Finance</v>
      </c>
      <c r="D104" t="str">
        <f>UPPER('Clean Data'!G103)</f>
        <v>PENDING</v>
      </c>
    </row>
    <row r="105" spans="1:4">
      <c r="A105" t="str">
        <f>'Clean Data'!C104</f>
        <v>Sales</v>
      </c>
      <c r="B105" t="str">
        <f t="shared" si="2"/>
        <v>Sales</v>
      </c>
      <c r="C105" t="str">
        <f t="shared" si="3"/>
        <v>Sales</v>
      </c>
      <c r="D105" t="str">
        <f>UPPER('Clean Data'!G104)</f>
        <v>SHORTLISTED</v>
      </c>
    </row>
    <row r="106" spans="1:4">
      <c r="A106" t="str">
        <f>'Clean Data'!C105</f>
        <v>Operations</v>
      </c>
      <c r="B106" t="str">
        <f t="shared" si="2"/>
        <v>Operations</v>
      </c>
      <c r="C106" t="str">
        <f t="shared" si="3"/>
        <v>Operations</v>
      </c>
      <c r="D106" t="str">
        <f>UPPER('Clean Data'!G105)</f>
        <v>SHORTLISTED</v>
      </c>
    </row>
    <row r="107" spans="1:4">
      <c r="A107" t="str">
        <f>'Clean Data'!C106</f>
        <v>IT</v>
      </c>
      <c r="B107" t="str">
        <f t="shared" si="2"/>
        <v>IT</v>
      </c>
      <c r="C107" t="str">
        <f t="shared" si="3"/>
        <v>It</v>
      </c>
      <c r="D107" t="str">
        <f>UPPER('Clean Data'!G106)</f>
        <v>REJECTED</v>
      </c>
    </row>
    <row r="108" spans="1:4">
      <c r="A108" t="str">
        <f>'Clean Data'!C107</f>
        <v>Finance</v>
      </c>
      <c r="B108" t="str">
        <f t="shared" si="2"/>
        <v>Finance</v>
      </c>
      <c r="C108" t="str">
        <f t="shared" si="3"/>
        <v>Finance</v>
      </c>
      <c r="D108" t="str">
        <f>UPPER('Clean Data'!G107)</f>
        <v>SHORTLISTED</v>
      </c>
    </row>
    <row r="109" spans="1:4">
      <c r="A109" t="str">
        <f>'Clean Data'!C108</f>
        <v>Sales</v>
      </c>
      <c r="B109" t="str">
        <f t="shared" si="2"/>
        <v>Sales</v>
      </c>
      <c r="C109" t="str">
        <f t="shared" si="3"/>
        <v>Sales</v>
      </c>
      <c r="D109" t="str">
        <f>UPPER('Clean Data'!G108)</f>
        <v>SHORTLISTED</v>
      </c>
    </row>
    <row r="110" spans="1:4">
      <c r="A110" t="str">
        <f>'Clean Data'!C109</f>
        <v>IT</v>
      </c>
      <c r="B110" t="str">
        <f t="shared" si="2"/>
        <v>IT</v>
      </c>
      <c r="C110" t="str">
        <f t="shared" si="3"/>
        <v>It</v>
      </c>
      <c r="D110" t="str">
        <f>UPPER('Clean Data'!G109)</f>
        <v>PENDING</v>
      </c>
    </row>
    <row r="111" spans="1:4">
      <c r="A111" t="str">
        <f>'Clean Data'!C110</f>
        <v>Finance</v>
      </c>
      <c r="B111" t="str">
        <f t="shared" si="2"/>
        <v>Finance</v>
      </c>
      <c r="C111" t="str">
        <f t="shared" si="3"/>
        <v>Finance</v>
      </c>
      <c r="D111" t="str">
        <f>UPPER('Clean Data'!G110)</f>
        <v>REJECTED</v>
      </c>
    </row>
    <row r="112" spans="1:4">
      <c r="A112" t="str">
        <f>'Clean Data'!C111</f>
        <v>Sales</v>
      </c>
      <c r="B112" t="str">
        <f t="shared" si="2"/>
        <v>Sales</v>
      </c>
      <c r="C112" t="str">
        <f t="shared" si="3"/>
        <v>Sales</v>
      </c>
      <c r="D112" t="str">
        <f>UPPER('Clean Data'!G111)</f>
        <v>HIRED</v>
      </c>
    </row>
    <row r="113" spans="1:4">
      <c r="A113" t="str">
        <f>'Clean Data'!C112</f>
        <v>Operations</v>
      </c>
      <c r="B113" t="str">
        <f t="shared" si="2"/>
        <v>Operations</v>
      </c>
      <c r="C113" t="str">
        <f t="shared" si="3"/>
        <v>Operations</v>
      </c>
      <c r="D113" t="str">
        <f>UPPER('Clean Data'!G112)</f>
        <v>REJECTED</v>
      </c>
    </row>
    <row r="114" spans="1:4">
      <c r="A114" t="str">
        <f>'Clean Data'!C113</f>
        <v>HR</v>
      </c>
      <c r="B114" t="str">
        <f t="shared" si="2"/>
        <v>HR</v>
      </c>
      <c r="C114" t="str">
        <f t="shared" si="3"/>
        <v>Hr</v>
      </c>
      <c r="D114" t="str">
        <f>UPPER('Clean Data'!G113)</f>
        <v>PENDING</v>
      </c>
    </row>
    <row r="115" spans="1:4">
      <c r="A115" t="str">
        <f>'Clean Data'!C114</f>
        <v>Finance</v>
      </c>
      <c r="B115" t="str">
        <f t="shared" si="2"/>
        <v>Finance</v>
      </c>
      <c r="C115" t="str">
        <f t="shared" si="3"/>
        <v>Finance</v>
      </c>
      <c r="D115" t="str">
        <f>UPPER('Clean Data'!G114)</f>
        <v>HIRED</v>
      </c>
    </row>
    <row r="116" spans="1:4">
      <c r="A116" t="str">
        <f>'Clean Data'!C115</f>
        <v>Operations</v>
      </c>
      <c r="B116" t="str">
        <f t="shared" si="2"/>
        <v>Operations</v>
      </c>
      <c r="C116" t="str">
        <f t="shared" si="3"/>
        <v>Operations</v>
      </c>
      <c r="D116" t="str">
        <f>UPPER('Clean Data'!G115)</f>
        <v>HIRED</v>
      </c>
    </row>
    <row r="117" spans="1:4">
      <c r="A117" t="str">
        <f>'Clean Data'!C116</f>
        <v>HR</v>
      </c>
      <c r="B117" t="str">
        <f t="shared" si="2"/>
        <v>HR</v>
      </c>
      <c r="C117" t="str">
        <f t="shared" si="3"/>
        <v>Hr</v>
      </c>
      <c r="D117" t="str">
        <f>UPPER('Clean Data'!G116)</f>
        <v>HIRED</v>
      </c>
    </row>
    <row r="118" spans="1:4">
      <c r="A118" t="str">
        <f>'Clean Data'!C117</f>
        <v>Unknown</v>
      </c>
      <c r="B118" t="str">
        <f t="shared" si="2"/>
        <v>Unknown</v>
      </c>
      <c r="C118" t="str">
        <f t="shared" si="3"/>
        <v>Unknown</v>
      </c>
      <c r="D118" t="str">
        <f>UPPER('Clean Data'!G117)</f>
        <v>HIRED</v>
      </c>
    </row>
    <row r="119" spans="1:4">
      <c r="A119" t="str">
        <f>'Clean Data'!C118</f>
        <v>HR</v>
      </c>
      <c r="B119" t="str">
        <f t="shared" si="2"/>
        <v>HR</v>
      </c>
      <c r="C119" t="str">
        <f t="shared" si="3"/>
        <v>Hr</v>
      </c>
      <c r="D119" t="str">
        <f>UPPER('Clean Data'!G118)</f>
        <v>SHORTLISTED</v>
      </c>
    </row>
    <row r="120" spans="1:4">
      <c r="A120" t="str">
        <f>'Clean Data'!C119</f>
        <v>Sales</v>
      </c>
      <c r="B120" t="str">
        <f t="shared" si="2"/>
        <v>Sales</v>
      </c>
      <c r="C120" t="str">
        <f t="shared" si="3"/>
        <v>Sales</v>
      </c>
      <c r="D120" t="str">
        <f>UPPER('Clean Data'!G119)</f>
        <v>PENDING</v>
      </c>
    </row>
    <row r="121" spans="1:4">
      <c r="A121" t="str">
        <f>'Clean Data'!C120</f>
        <v>Finance</v>
      </c>
      <c r="B121" t="str">
        <f t="shared" si="2"/>
        <v>Finance</v>
      </c>
      <c r="C121" t="str">
        <f t="shared" si="3"/>
        <v>Finance</v>
      </c>
      <c r="D121" t="str">
        <f>UPPER('Clean Data'!G120)</f>
        <v>REJECTED</v>
      </c>
    </row>
    <row r="122" spans="1:4">
      <c r="A122" t="str">
        <f>'Clean Data'!C121</f>
        <v>HR</v>
      </c>
      <c r="B122" t="str">
        <f t="shared" si="2"/>
        <v>HR</v>
      </c>
      <c r="C122" t="str">
        <f t="shared" si="3"/>
        <v>Hr</v>
      </c>
      <c r="D122" t="str">
        <f>UPPER('Clean Data'!G121)</f>
        <v>REJECTED</v>
      </c>
    </row>
    <row r="123" spans="1:4">
      <c r="A123" t="str">
        <f>'Clean Data'!C122</f>
        <v>Administration</v>
      </c>
      <c r="B123" t="str">
        <f t="shared" si="2"/>
        <v>Administration</v>
      </c>
      <c r="C123" t="str">
        <f t="shared" si="3"/>
        <v>Administration</v>
      </c>
      <c r="D123" t="str">
        <f>UPPER('Clean Data'!G122)</f>
        <v>REJECTED</v>
      </c>
    </row>
    <row r="124" spans="1:4">
      <c r="A124" t="str">
        <f>'Clean Data'!C123</f>
        <v>Administration</v>
      </c>
      <c r="B124" t="str">
        <f t="shared" si="2"/>
        <v>Administration</v>
      </c>
      <c r="C124" t="str">
        <f t="shared" si="3"/>
        <v>Administration</v>
      </c>
      <c r="D124" t="str">
        <f>UPPER('Clean Data'!G123)</f>
        <v>REJECTED</v>
      </c>
    </row>
    <row r="125" spans="1:4">
      <c r="A125" t="str">
        <f>'Clean Data'!C124</f>
        <v>Administration</v>
      </c>
      <c r="B125" t="str">
        <f t="shared" si="2"/>
        <v>Administration</v>
      </c>
      <c r="C125" t="str">
        <f t="shared" si="3"/>
        <v>Administration</v>
      </c>
      <c r="D125" t="str">
        <f>UPPER('Clean Data'!G124)</f>
        <v>REJECTED</v>
      </c>
    </row>
    <row r="126" spans="1:4">
      <c r="A126" t="str">
        <f>'Clean Data'!C125</f>
        <v>HR</v>
      </c>
      <c r="B126" t="str">
        <f t="shared" si="2"/>
        <v>HR</v>
      </c>
      <c r="C126" t="str">
        <f t="shared" si="3"/>
        <v>Hr</v>
      </c>
      <c r="D126" t="str">
        <f>UPPER('Clean Data'!G125)</f>
        <v>REJECTED</v>
      </c>
    </row>
    <row r="127" spans="1:4">
      <c r="A127" t="str">
        <f>'Clean Data'!C126</f>
        <v>Operations</v>
      </c>
      <c r="B127" t="str">
        <f t="shared" si="2"/>
        <v>Operations</v>
      </c>
      <c r="C127" t="str">
        <f t="shared" si="3"/>
        <v>Operations</v>
      </c>
      <c r="D127" t="str">
        <f>UPPER('Clean Data'!G126)</f>
        <v>PENDING</v>
      </c>
    </row>
    <row r="128" spans="1:4">
      <c r="A128" t="str">
        <f>'Clean Data'!C127</f>
        <v>Operations</v>
      </c>
      <c r="B128" t="str">
        <f t="shared" si="2"/>
        <v>Operations</v>
      </c>
      <c r="C128" t="str">
        <f t="shared" si="3"/>
        <v>Operations</v>
      </c>
      <c r="D128" t="str">
        <f>UPPER('Clean Data'!G127)</f>
        <v>REJECTED</v>
      </c>
    </row>
    <row r="129" spans="1:4">
      <c r="A129" t="str">
        <f>'Clean Data'!C128</f>
        <v>Finance</v>
      </c>
      <c r="B129" t="str">
        <f t="shared" si="2"/>
        <v>Finance</v>
      </c>
      <c r="C129" t="str">
        <f t="shared" si="3"/>
        <v>Finance</v>
      </c>
      <c r="D129" t="str">
        <f>UPPER('Clean Data'!G128)</f>
        <v>SHORTLISTED</v>
      </c>
    </row>
    <row r="130" spans="1:4">
      <c r="A130" t="str">
        <f>'Clean Data'!C129</f>
        <v>HR</v>
      </c>
      <c r="B130" t="str">
        <f t="shared" si="2"/>
        <v>HR</v>
      </c>
      <c r="C130" t="str">
        <f t="shared" si="3"/>
        <v>Hr</v>
      </c>
      <c r="D130" t="str">
        <f>UPPER('Clean Data'!G129)</f>
        <v>REJECTED</v>
      </c>
    </row>
    <row r="131" spans="1:4">
      <c r="A131" t="str">
        <f>'Clean Data'!C130</f>
        <v>HR</v>
      </c>
      <c r="B131" t="str">
        <f t="shared" si="2"/>
        <v>HR</v>
      </c>
      <c r="C131" t="str">
        <f t="shared" si="3"/>
        <v>Hr</v>
      </c>
      <c r="D131" t="str">
        <f>UPPER('Clean Data'!G130)</f>
        <v>SHORTLISTED</v>
      </c>
    </row>
    <row r="132" spans="1:4">
      <c r="A132" t="str">
        <f>'Clean Data'!C131</f>
        <v>Operations</v>
      </c>
      <c r="B132" t="str">
        <f t="shared" ref="B132:B195" si="4">TRIM(A132)</f>
        <v>Operations</v>
      </c>
      <c r="C132" t="str">
        <f t="shared" ref="C132:C195" si="5">PROPER(B132)</f>
        <v>Operations</v>
      </c>
      <c r="D132" t="str">
        <f>UPPER('Clean Data'!G131)</f>
        <v>PENDING</v>
      </c>
    </row>
    <row r="133" spans="1:4">
      <c r="A133" t="str">
        <f>'Clean Data'!C132</f>
        <v>HR</v>
      </c>
      <c r="B133" t="str">
        <f t="shared" si="4"/>
        <v>HR</v>
      </c>
      <c r="C133" t="str">
        <f t="shared" si="5"/>
        <v>Hr</v>
      </c>
      <c r="D133" t="str">
        <f>UPPER('Clean Data'!G132)</f>
        <v>REJECTED</v>
      </c>
    </row>
    <row r="134" spans="1:4">
      <c r="A134" t="str">
        <f>'Clean Data'!C133</f>
        <v>Finance</v>
      </c>
      <c r="B134" t="str">
        <f t="shared" si="4"/>
        <v>Finance</v>
      </c>
      <c r="C134" t="str">
        <f t="shared" si="5"/>
        <v>Finance</v>
      </c>
      <c r="D134" t="str">
        <f>UPPER('Clean Data'!G133)</f>
        <v>HIRED</v>
      </c>
    </row>
    <row r="135" spans="1:4">
      <c r="A135" t="str">
        <f>'Clean Data'!C134</f>
        <v>Finance</v>
      </c>
      <c r="B135" t="str">
        <f t="shared" si="4"/>
        <v>Finance</v>
      </c>
      <c r="C135" t="str">
        <f t="shared" si="5"/>
        <v>Finance</v>
      </c>
      <c r="D135" t="str">
        <f>UPPER('Clean Data'!G134)</f>
        <v>HIRED</v>
      </c>
    </row>
    <row r="136" spans="1:4">
      <c r="A136" t="str">
        <f>'Clean Data'!C135</f>
        <v>IT</v>
      </c>
      <c r="B136" t="str">
        <f t="shared" si="4"/>
        <v>IT</v>
      </c>
      <c r="C136" t="str">
        <f t="shared" si="5"/>
        <v>It</v>
      </c>
      <c r="D136" t="str">
        <f>UPPER('Clean Data'!G135)</f>
        <v>HIRED</v>
      </c>
    </row>
    <row r="137" spans="1:4">
      <c r="A137" t="str">
        <f>'Clean Data'!C136</f>
        <v>IT</v>
      </c>
      <c r="B137" t="str">
        <f t="shared" si="4"/>
        <v>IT</v>
      </c>
      <c r="C137" t="str">
        <f t="shared" si="5"/>
        <v>It</v>
      </c>
      <c r="D137" t="str">
        <f>UPPER('Clean Data'!G136)</f>
        <v>PENDING</v>
      </c>
    </row>
    <row r="138" spans="1:4">
      <c r="A138" t="str">
        <f>'Clean Data'!C137</f>
        <v>HR</v>
      </c>
      <c r="B138" t="str">
        <f t="shared" si="4"/>
        <v>HR</v>
      </c>
      <c r="C138" t="str">
        <f t="shared" si="5"/>
        <v>Hr</v>
      </c>
      <c r="D138" t="str">
        <f>UPPER('Clean Data'!G137)</f>
        <v>HIRED</v>
      </c>
    </row>
    <row r="139" spans="1:4">
      <c r="A139" t="str">
        <f>'Clean Data'!C138</f>
        <v>HR</v>
      </c>
      <c r="B139" t="str">
        <f t="shared" si="4"/>
        <v>HR</v>
      </c>
      <c r="C139" t="str">
        <f t="shared" si="5"/>
        <v>Hr</v>
      </c>
      <c r="D139" t="str">
        <f>UPPER('Clean Data'!G138)</f>
        <v>HIRED</v>
      </c>
    </row>
    <row r="140" spans="1:4">
      <c r="A140" t="str">
        <f>'Clean Data'!C139</f>
        <v>Sales</v>
      </c>
      <c r="B140" t="str">
        <f t="shared" si="4"/>
        <v>Sales</v>
      </c>
      <c r="C140" t="str">
        <f t="shared" si="5"/>
        <v>Sales</v>
      </c>
      <c r="D140" t="str">
        <f>UPPER('Clean Data'!G139)</f>
        <v>SHORTLISTED</v>
      </c>
    </row>
    <row r="141" spans="1:4">
      <c r="A141" t="str">
        <f>'Clean Data'!C140</f>
        <v>Administration</v>
      </c>
      <c r="B141" t="str">
        <f t="shared" si="4"/>
        <v>Administration</v>
      </c>
      <c r="C141" t="str">
        <f t="shared" si="5"/>
        <v>Administration</v>
      </c>
      <c r="D141" t="str">
        <f>UPPER('Clean Data'!G140)</f>
        <v>SHORTLISTED</v>
      </c>
    </row>
    <row r="142" spans="1:4">
      <c r="A142" t="str">
        <f>'Clean Data'!C141</f>
        <v>Administration</v>
      </c>
      <c r="B142" t="str">
        <f t="shared" si="4"/>
        <v>Administration</v>
      </c>
      <c r="C142" t="str">
        <f t="shared" si="5"/>
        <v>Administration</v>
      </c>
      <c r="D142" t="str">
        <f>UPPER('Clean Data'!G141)</f>
        <v>PENDING</v>
      </c>
    </row>
    <row r="143" spans="1:4">
      <c r="A143" t="str">
        <f>'Clean Data'!C142</f>
        <v>Finance</v>
      </c>
      <c r="B143" t="str">
        <f t="shared" si="4"/>
        <v>Finance</v>
      </c>
      <c r="C143" t="str">
        <f t="shared" si="5"/>
        <v>Finance</v>
      </c>
      <c r="D143" t="str">
        <f>UPPER('Clean Data'!G142)</f>
        <v>PENDING</v>
      </c>
    </row>
    <row r="144" spans="1:4">
      <c r="A144" t="str">
        <f>'Clean Data'!C143</f>
        <v>Finance</v>
      </c>
      <c r="B144" t="str">
        <f t="shared" si="4"/>
        <v>Finance</v>
      </c>
      <c r="C144" t="str">
        <f t="shared" si="5"/>
        <v>Finance</v>
      </c>
      <c r="D144" t="str">
        <f>UPPER('Clean Data'!G143)</f>
        <v>REJECTED</v>
      </c>
    </row>
    <row r="145" spans="1:4">
      <c r="A145" t="str">
        <f>'Clean Data'!C144</f>
        <v>Finance</v>
      </c>
      <c r="B145" t="str">
        <f t="shared" si="4"/>
        <v>Finance</v>
      </c>
      <c r="C145" t="str">
        <f t="shared" si="5"/>
        <v>Finance</v>
      </c>
      <c r="D145" t="str">
        <f>UPPER('Clean Data'!G144)</f>
        <v>REJECTED</v>
      </c>
    </row>
    <row r="146" spans="1:4">
      <c r="A146" t="str">
        <f>'Clean Data'!C145</f>
        <v>IT</v>
      </c>
      <c r="B146" t="str">
        <f t="shared" si="4"/>
        <v>IT</v>
      </c>
      <c r="C146" t="str">
        <f t="shared" si="5"/>
        <v>It</v>
      </c>
      <c r="D146" t="str">
        <f>UPPER('Clean Data'!G145)</f>
        <v>REJECTED</v>
      </c>
    </row>
    <row r="147" spans="1:4">
      <c r="A147" t="str">
        <f>'Clean Data'!C146</f>
        <v>Operations</v>
      </c>
      <c r="B147" t="str">
        <f t="shared" si="4"/>
        <v>Operations</v>
      </c>
      <c r="C147" t="str">
        <f t="shared" si="5"/>
        <v>Operations</v>
      </c>
      <c r="D147" t="str">
        <f>UPPER('Clean Data'!G146)</f>
        <v>SHORTLISTED</v>
      </c>
    </row>
    <row r="148" spans="1:4">
      <c r="A148" t="str">
        <f>'Clean Data'!C147</f>
        <v>Finance</v>
      </c>
      <c r="B148" t="str">
        <f t="shared" si="4"/>
        <v>Finance</v>
      </c>
      <c r="C148" t="str">
        <f t="shared" si="5"/>
        <v>Finance</v>
      </c>
      <c r="D148" t="str">
        <f>UPPER('Clean Data'!G147)</f>
        <v>REJECTED</v>
      </c>
    </row>
    <row r="149" spans="1:4">
      <c r="A149" t="str">
        <f>'Clean Data'!C148</f>
        <v>IT</v>
      </c>
      <c r="B149" t="str">
        <f t="shared" si="4"/>
        <v>IT</v>
      </c>
      <c r="C149" t="str">
        <f t="shared" si="5"/>
        <v>It</v>
      </c>
      <c r="D149" t="str">
        <f>UPPER('Clean Data'!G148)</f>
        <v>PENDING</v>
      </c>
    </row>
    <row r="150" spans="1:4">
      <c r="A150" t="str">
        <f>'Clean Data'!C149</f>
        <v>Finance</v>
      </c>
      <c r="B150" t="str">
        <f t="shared" si="4"/>
        <v>Finance</v>
      </c>
      <c r="C150" t="str">
        <f t="shared" si="5"/>
        <v>Finance</v>
      </c>
      <c r="D150" t="str">
        <f>UPPER('Clean Data'!G149)</f>
        <v>SHORTLISTED</v>
      </c>
    </row>
    <row r="151" spans="1:4">
      <c r="A151" t="str">
        <f>'Clean Data'!C150</f>
        <v>HR</v>
      </c>
      <c r="B151" t="str">
        <f t="shared" si="4"/>
        <v>HR</v>
      </c>
      <c r="C151" t="str">
        <f t="shared" si="5"/>
        <v>Hr</v>
      </c>
      <c r="D151" t="str">
        <f>UPPER('Clean Data'!G150)</f>
        <v>REJECTED</v>
      </c>
    </row>
    <row r="152" spans="1:4">
      <c r="A152" t="str">
        <f>'Clean Data'!C151</f>
        <v>Finance</v>
      </c>
      <c r="B152" t="str">
        <f t="shared" si="4"/>
        <v>Finance</v>
      </c>
      <c r="C152" t="str">
        <f t="shared" si="5"/>
        <v>Finance</v>
      </c>
      <c r="D152" t="str">
        <f>UPPER('Clean Data'!G151)</f>
        <v>PENDING</v>
      </c>
    </row>
    <row r="153" spans="1:4">
      <c r="A153" t="str">
        <f>'Clean Data'!C152</f>
        <v>IT</v>
      </c>
      <c r="B153" t="str">
        <f t="shared" si="4"/>
        <v>IT</v>
      </c>
      <c r="C153" t="str">
        <f t="shared" si="5"/>
        <v>It</v>
      </c>
      <c r="D153" t="str">
        <f>UPPER('Clean Data'!G152)</f>
        <v>PENDING</v>
      </c>
    </row>
    <row r="154" spans="1:4">
      <c r="A154" t="str">
        <f>'Clean Data'!C153</f>
        <v>Finance</v>
      </c>
      <c r="B154" t="str">
        <f t="shared" si="4"/>
        <v>Finance</v>
      </c>
      <c r="C154" t="str">
        <f t="shared" si="5"/>
        <v>Finance</v>
      </c>
      <c r="D154" t="str">
        <f>UPPER('Clean Data'!G153)</f>
        <v>SHORTLISTED</v>
      </c>
    </row>
    <row r="155" spans="1:4">
      <c r="A155" t="str">
        <f>'Clean Data'!C154</f>
        <v>Administration</v>
      </c>
      <c r="B155" t="str">
        <f t="shared" si="4"/>
        <v>Administration</v>
      </c>
      <c r="C155" t="str">
        <f t="shared" si="5"/>
        <v>Administration</v>
      </c>
      <c r="D155" t="str">
        <f>UPPER('Clean Data'!G154)</f>
        <v>REJECTED</v>
      </c>
    </row>
    <row r="156" spans="1:4">
      <c r="A156" t="str">
        <f>'Clean Data'!C155</f>
        <v>Administration</v>
      </c>
      <c r="B156" t="str">
        <f t="shared" si="4"/>
        <v>Administration</v>
      </c>
      <c r="C156" t="str">
        <f t="shared" si="5"/>
        <v>Administration</v>
      </c>
      <c r="D156" t="str">
        <f>UPPER('Clean Data'!G155)</f>
        <v>SHORTLISTED</v>
      </c>
    </row>
    <row r="157" spans="1:4">
      <c r="A157" t="str">
        <f>'Clean Data'!C156</f>
        <v>Administration</v>
      </c>
      <c r="B157" t="str">
        <f t="shared" si="4"/>
        <v>Administration</v>
      </c>
      <c r="C157" t="str">
        <f t="shared" si="5"/>
        <v>Administration</v>
      </c>
      <c r="D157" t="str">
        <f>UPPER('Clean Data'!G156)</f>
        <v>REJECTED</v>
      </c>
    </row>
    <row r="158" spans="1:4">
      <c r="A158" t="str">
        <f>'Clean Data'!C157</f>
        <v>Unknown</v>
      </c>
      <c r="B158" t="str">
        <f t="shared" si="4"/>
        <v>Unknown</v>
      </c>
      <c r="C158" t="str">
        <f t="shared" si="5"/>
        <v>Unknown</v>
      </c>
      <c r="D158" t="str">
        <f>UPPER('Clean Data'!G157)</f>
        <v>REJECTED</v>
      </c>
    </row>
    <row r="159" spans="1:4">
      <c r="A159" t="str">
        <f>'Clean Data'!C158</f>
        <v>Administration</v>
      </c>
      <c r="B159" t="str">
        <f t="shared" si="4"/>
        <v>Administration</v>
      </c>
      <c r="C159" t="str">
        <f t="shared" si="5"/>
        <v>Administration</v>
      </c>
      <c r="D159" t="str">
        <f>UPPER('Clean Data'!G158)</f>
        <v>REJECTED</v>
      </c>
    </row>
    <row r="160" spans="1:4">
      <c r="A160" t="str">
        <f>'Clean Data'!C159</f>
        <v>Finance</v>
      </c>
      <c r="B160" t="str">
        <f t="shared" si="4"/>
        <v>Finance</v>
      </c>
      <c r="C160" t="str">
        <f t="shared" si="5"/>
        <v>Finance</v>
      </c>
      <c r="D160" t="str">
        <f>UPPER('Clean Data'!G159)</f>
        <v>REJECTED</v>
      </c>
    </row>
    <row r="161" spans="1:4">
      <c r="A161" t="str">
        <f>'Clean Data'!C160</f>
        <v>IT</v>
      </c>
      <c r="B161" t="str">
        <f t="shared" si="4"/>
        <v>IT</v>
      </c>
      <c r="C161" t="str">
        <f t="shared" si="5"/>
        <v>It</v>
      </c>
      <c r="D161" t="str">
        <f>UPPER('Clean Data'!G160)</f>
        <v>HIRED</v>
      </c>
    </row>
    <row r="162" spans="1:4">
      <c r="A162" t="str">
        <f>'Clean Data'!C161</f>
        <v>IT</v>
      </c>
      <c r="B162" t="str">
        <f t="shared" si="4"/>
        <v>IT</v>
      </c>
      <c r="C162" t="str">
        <f t="shared" si="5"/>
        <v>It</v>
      </c>
      <c r="D162" t="str">
        <f>UPPER('Clean Data'!G161)</f>
        <v>REJECTED</v>
      </c>
    </row>
    <row r="163" spans="1:4">
      <c r="A163" t="str">
        <f>'Clean Data'!C162</f>
        <v>Operations</v>
      </c>
      <c r="B163" t="str">
        <f t="shared" si="4"/>
        <v>Operations</v>
      </c>
      <c r="C163" t="str">
        <f t="shared" si="5"/>
        <v>Operations</v>
      </c>
      <c r="D163" t="str">
        <f>UPPER('Clean Data'!G162)</f>
        <v>PENDING</v>
      </c>
    </row>
    <row r="164" spans="1:4">
      <c r="A164" t="str">
        <f>'Clean Data'!C163</f>
        <v>Administration</v>
      </c>
      <c r="B164" t="str">
        <f t="shared" si="4"/>
        <v>Administration</v>
      </c>
      <c r="C164" t="str">
        <f t="shared" si="5"/>
        <v>Administration</v>
      </c>
      <c r="D164" t="str">
        <f>UPPER('Clean Data'!G163)</f>
        <v>PENDING</v>
      </c>
    </row>
    <row r="165" spans="1:4">
      <c r="A165" t="str">
        <f>'Clean Data'!C164</f>
        <v>Finance</v>
      </c>
      <c r="B165" t="str">
        <f t="shared" si="4"/>
        <v>Finance</v>
      </c>
      <c r="C165" t="str">
        <f t="shared" si="5"/>
        <v>Finance</v>
      </c>
      <c r="D165" t="str">
        <f>UPPER('Clean Data'!G164)</f>
        <v>PENDING</v>
      </c>
    </row>
    <row r="166" spans="1:4">
      <c r="A166" t="str">
        <f>'Clean Data'!C165</f>
        <v>HR</v>
      </c>
      <c r="B166" t="str">
        <f t="shared" si="4"/>
        <v>HR</v>
      </c>
      <c r="C166" t="str">
        <f t="shared" si="5"/>
        <v>Hr</v>
      </c>
      <c r="D166" t="str">
        <f>UPPER('Clean Data'!G165)</f>
        <v>REJECTED</v>
      </c>
    </row>
    <row r="167" spans="1:4">
      <c r="A167" t="str">
        <f>'Clean Data'!C166</f>
        <v>IT</v>
      </c>
      <c r="B167" t="str">
        <f t="shared" si="4"/>
        <v>IT</v>
      </c>
      <c r="C167" t="str">
        <f t="shared" si="5"/>
        <v>It</v>
      </c>
      <c r="D167" t="str">
        <f>UPPER('Clean Data'!G166)</f>
        <v>REJECTED</v>
      </c>
    </row>
    <row r="168" spans="1:4">
      <c r="A168" t="str">
        <f>'Clean Data'!C167</f>
        <v>IT</v>
      </c>
      <c r="B168" t="str">
        <f t="shared" si="4"/>
        <v>IT</v>
      </c>
      <c r="C168" t="str">
        <f t="shared" si="5"/>
        <v>It</v>
      </c>
      <c r="D168" t="str">
        <f>UPPER('Clean Data'!G167)</f>
        <v>REJECTED</v>
      </c>
    </row>
    <row r="169" spans="1:4">
      <c r="A169" t="str">
        <f>'Clean Data'!C168</f>
        <v>Sales</v>
      </c>
      <c r="B169" t="str">
        <f t="shared" si="4"/>
        <v>Sales</v>
      </c>
      <c r="C169" t="str">
        <f t="shared" si="5"/>
        <v>Sales</v>
      </c>
      <c r="D169" t="str">
        <f>UPPER('Clean Data'!G168)</f>
        <v>HIRED</v>
      </c>
    </row>
    <row r="170" spans="1:4">
      <c r="A170" t="str">
        <f>'Clean Data'!C169</f>
        <v>IT</v>
      </c>
      <c r="B170" t="str">
        <f t="shared" si="4"/>
        <v>IT</v>
      </c>
      <c r="C170" t="str">
        <f t="shared" si="5"/>
        <v>It</v>
      </c>
      <c r="D170" t="str">
        <f>UPPER('Clean Data'!G169)</f>
        <v>SHORTLISTED</v>
      </c>
    </row>
    <row r="171" spans="1:4">
      <c r="A171" t="str">
        <f>'Clean Data'!C170</f>
        <v>Operations</v>
      </c>
      <c r="B171" t="str">
        <f t="shared" si="4"/>
        <v>Operations</v>
      </c>
      <c r="C171" t="str">
        <f t="shared" si="5"/>
        <v>Operations</v>
      </c>
      <c r="D171" t="str">
        <f>UPPER('Clean Data'!G170)</f>
        <v>PENDING</v>
      </c>
    </row>
    <row r="172" spans="1:4">
      <c r="A172" t="str">
        <f>'Clean Data'!C171</f>
        <v>IT</v>
      </c>
      <c r="B172" t="str">
        <f t="shared" si="4"/>
        <v>IT</v>
      </c>
      <c r="C172" t="str">
        <f t="shared" si="5"/>
        <v>It</v>
      </c>
      <c r="D172" t="str">
        <f>UPPER('Clean Data'!G171)</f>
        <v>HIRED</v>
      </c>
    </row>
    <row r="173" spans="1:4">
      <c r="A173" t="str">
        <f>'Clean Data'!C172</f>
        <v>Sales</v>
      </c>
      <c r="B173" t="str">
        <f t="shared" si="4"/>
        <v>Sales</v>
      </c>
      <c r="C173" t="str">
        <f t="shared" si="5"/>
        <v>Sales</v>
      </c>
      <c r="D173" t="str">
        <f>UPPER('Clean Data'!G172)</f>
        <v>PENDING</v>
      </c>
    </row>
    <row r="174" spans="1:4">
      <c r="A174" t="str">
        <f>'Clean Data'!C173</f>
        <v>Administration</v>
      </c>
      <c r="B174" t="str">
        <f t="shared" si="4"/>
        <v>Administration</v>
      </c>
      <c r="C174" t="str">
        <f t="shared" si="5"/>
        <v>Administration</v>
      </c>
      <c r="D174" t="str">
        <f>UPPER('Clean Data'!G173)</f>
        <v>HIRED</v>
      </c>
    </row>
    <row r="175" spans="1:4">
      <c r="A175" t="str">
        <f>'Clean Data'!C174</f>
        <v>Administration</v>
      </c>
      <c r="B175" t="str">
        <f t="shared" si="4"/>
        <v>Administration</v>
      </c>
      <c r="C175" t="str">
        <f t="shared" si="5"/>
        <v>Administration</v>
      </c>
      <c r="D175" t="str">
        <f>UPPER('Clean Data'!G174)</f>
        <v>PENDING</v>
      </c>
    </row>
    <row r="176" spans="1:4">
      <c r="A176" t="str">
        <f>'Clean Data'!C175</f>
        <v>Administration</v>
      </c>
      <c r="B176" t="str">
        <f t="shared" si="4"/>
        <v>Administration</v>
      </c>
      <c r="C176" t="str">
        <f t="shared" si="5"/>
        <v>Administration</v>
      </c>
      <c r="D176" t="str">
        <f>UPPER('Clean Data'!G175)</f>
        <v>SHORTLISTED</v>
      </c>
    </row>
    <row r="177" spans="1:4">
      <c r="A177" t="str">
        <f>'Clean Data'!C176</f>
        <v>Administration</v>
      </c>
      <c r="B177" t="str">
        <f t="shared" si="4"/>
        <v>Administration</v>
      </c>
      <c r="C177" t="str">
        <f t="shared" si="5"/>
        <v>Administration</v>
      </c>
      <c r="D177" t="str">
        <f>UPPER('Clean Data'!G176)</f>
        <v>HIRED</v>
      </c>
    </row>
    <row r="178" spans="1:4">
      <c r="A178" t="str">
        <f>'Clean Data'!C177</f>
        <v>Unknown</v>
      </c>
      <c r="B178" t="str">
        <f t="shared" si="4"/>
        <v>Unknown</v>
      </c>
      <c r="C178" t="str">
        <f t="shared" si="5"/>
        <v>Unknown</v>
      </c>
      <c r="D178" t="str">
        <f>UPPER('Clean Data'!G177)</f>
        <v>PENDING</v>
      </c>
    </row>
    <row r="179" spans="1:4">
      <c r="A179" t="str">
        <f>'Clean Data'!C178</f>
        <v>Sales</v>
      </c>
      <c r="B179" t="str">
        <f t="shared" si="4"/>
        <v>Sales</v>
      </c>
      <c r="C179" t="str">
        <f t="shared" si="5"/>
        <v>Sales</v>
      </c>
      <c r="D179" t="str">
        <f>UPPER('Clean Data'!G178)</f>
        <v>HIRED</v>
      </c>
    </row>
    <row r="180" spans="1:4">
      <c r="A180" t="str">
        <f>'Clean Data'!C179</f>
        <v>HR</v>
      </c>
      <c r="B180" t="str">
        <f t="shared" si="4"/>
        <v>HR</v>
      </c>
      <c r="C180" t="str">
        <f t="shared" si="5"/>
        <v>Hr</v>
      </c>
      <c r="D180" t="str">
        <f>UPPER('Clean Data'!G179)</f>
        <v>HIRED</v>
      </c>
    </row>
    <row r="181" spans="1:4">
      <c r="A181" t="str">
        <f>'Clean Data'!C180</f>
        <v>Finance</v>
      </c>
      <c r="B181" t="str">
        <f t="shared" si="4"/>
        <v>Finance</v>
      </c>
      <c r="C181" t="str">
        <f t="shared" si="5"/>
        <v>Finance</v>
      </c>
      <c r="D181" t="str">
        <f>UPPER('Clean Data'!G180)</f>
        <v>PENDING</v>
      </c>
    </row>
    <row r="182" spans="1:4">
      <c r="A182" t="str">
        <f>'Clean Data'!C181</f>
        <v>Finance</v>
      </c>
      <c r="B182" t="str">
        <f t="shared" si="4"/>
        <v>Finance</v>
      </c>
      <c r="C182" t="str">
        <f t="shared" si="5"/>
        <v>Finance</v>
      </c>
      <c r="D182" t="str">
        <f>UPPER('Clean Data'!G181)</f>
        <v>HIRED</v>
      </c>
    </row>
    <row r="183" spans="1:4">
      <c r="A183" t="str">
        <f>'Clean Data'!C182</f>
        <v>IT</v>
      </c>
      <c r="B183" t="str">
        <f t="shared" si="4"/>
        <v>IT</v>
      </c>
      <c r="C183" t="str">
        <f t="shared" si="5"/>
        <v>It</v>
      </c>
      <c r="D183" t="str">
        <f>UPPER('Clean Data'!G182)</f>
        <v>SHORTLISTED</v>
      </c>
    </row>
    <row r="184" spans="1:4">
      <c r="A184" t="str">
        <f>'Clean Data'!C183</f>
        <v>Sales</v>
      </c>
      <c r="B184" t="str">
        <f t="shared" si="4"/>
        <v>Sales</v>
      </c>
      <c r="C184" t="str">
        <f t="shared" si="5"/>
        <v>Sales</v>
      </c>
      <c r="D184" t="str">
        <f>UPPER('Clean Data'!G183)</f>
        <v>REJECTED</v>
      </c>
    </row>
    <row r="185" spans="1:4">
      <c r="A185" t="str">
        <f>'Clean Data'!C184</f>
        <v>Operations</v>
      </c>
      <c r="B185" t="str">
        <f t="shared" si="4"/>
        <v>Operations</v>
      </c>
      <c r="C185" t="str">
        <f t="shared" si="5"/>
        <v>Operations</v>
      </c>
      <c r="D185" t="str">
        <f>UPPER('Clean Data'!G184)</f>
        <v>PENDING</v>
      </c>
    </row>
    <row r="186" spans="1:4">
      <c r="A186" t="str">
        <f>'Clean Data'!C185</f>
        <v>Sales</v>
      </c>
      <c r="B186" t="str">
        <f t="shared" si="4"/>
        <v>Sales</v>
      </c>
      <c r="C186" t="str">
        <f t="shared" si="5"/>
        <v>Sales</v>
      </c>
      <c r="D186" t="str">
        <f>UPPER('Clean Data'!G185)</f>
        <v>HIRED</v>
      </c>
    </row>
    <row r="187" spans="1:4">
      <c r="A187" t="str">
        <f>'Clean Data'!C186</f>
        <v>Unknown</v>
      </c>
      <c r="B187" t="str">
        <f t="shared" si="4"/>
        <v>Unknown</v>
      </c>
      <c r="C187" t="str">
        <f t="shared" si="5"/>
        <v>Unknown</v>
      </c>
      <c r="D187" t="str">
        <f>UPPER('Clean Data'!G186)</f>
        <v>REJECTED</v>
      </c>
    </row>
    <row r="188" spans="1:4">
      <c r="A188" t="str">
        <f>'Clean Data'!C187</f>
        <v>Finance</v>
      </c>
      <c r="B188" t="str">
        <f t="shared" si="4"/>
        <v>Finance</v>
      </c>
      <c r="C188" t="str">
        <f t="shared" si="5"/>
        <v>Finance</v>
      </c>
      <c r="D188" t="str">
        <f>UPPER('Clean Data'!G187)</f>
        <v>SHORTLISTED</v>
      </c>
    </row>
    <row r="189" spans="1:4">
      <c r="A189" t="str">
        <f>'Clean Data'!C188</f>
        <v>HR</v>
      </c>
      <c r="B189" t="str">
        <f t="shared" si="4"/>
        <v>HR</v>
      </c>
      <c r="C189" t="str">
        <f t="shared" si="5"/>
        <v>Hr</v>
      </c>
      <c r="D189" t="str">
        <f>UPPER('Clean Data'!G188)</f>
        <v>REJECTED</v>
      </c>
    </row>
    <row r="190" spans="1:4">
      <c r="A190" t="str">
        <f>'Clean Data'!C189</f>
        <v>Finance</v>
      </c>
      <c r="B190" t="str">
        <f t="shared" si="4"/>
        <v>Finance</v>
      </c>
      <c r="C190" t="str">
        <f t="shared" si="5"/>
        <v>Finance</v>
      </c>
      <c r="D190" t="str">
        <f>UPPER('Clean Data'!G189)</f>
        <v>PENDING</v>
      </c>
    </row>
    <row r="191" spans="1:4">
      <c r="A191" t="str">
        <f>'Clean Data'!C190</f>
        <v>Administration</v>
      </c>
      <c r="B191" t="str">
        <f t="shared" si="4"/>
        <v>Administration</v>
      </c>
      <c r="C191" t="str">
        <f t="shared" si="5"/>
        <v>Administration</v>
      </c>
      <c r="D191" t="str">
        <f>UPPER('Clean Data'!G190)</f>
        <v>HIRED</v>
      </c>
    </row>
    <row r="192" spans="1:4">
      <c r="A192" t="str">
        <f>'Clean Data'!C191</f>
        <v>Finance</v>
      </c>
      <c r="B192" t="str">
        <f t="shared" si="4"/>
        <v>Finance</v>
      </c>
      <c r="C192" t="str">
        <f t="shared" si="5"/>
        <v>Finance</v>
      </c>
      <c r="D192" t="str">
        <f>UPPER('Clean Data'!G191)</f>
        <v>HIRED</v>
      </c>
    </row>
    <row r="193" spans="1:4">
      <c r="A193" t="str">
        <f>'Clean Data'!C192</f>
        <v>Finance</v>
      </c>
      <c r="B193" t="str">
        <f t="shared" si="4"/>
        <v>Finance</v>
      </c>
      <c r="C193" t="str">
        <f t="shared" si="5"/>
        <v>Finance</v>
      </c>
      <c r="D193" t="str">
        <f>UPPER('Clean Data'!G192)</f>
        <v>HIRED</v>
      </c>
    </row>
    <row r="194" spans="1:4">
      <c r="A194" t="str">
        <f>'Clean Data'!C193</f>
        <v>Administration</v>
      </c>
      <c r="B194" t="str">
        <f t="shared" si="4"/>
        <v>Administration</v>
      </c>
      <c r="C194" t="str">
        <f t="shared" si="5"/>
        <v>Administration</v>
      </c>
      <c r="D194" t="str">
        <f>UPPER('Clean Data'!G193)</f>
        <v>HIRED</v>
      </c>
    </row>
    <row r="195" spans="1:4">
      <c r="A195" t="str">
        <f>'Clean Data'!C194</f>
        <v>Administration</v>
      </c>
      <c r="B195" t="str">
        <f t="shared" si="4"/>
        <v>Administration</v>
      </c>
      <c r="C195" t="str">
        <f t="shared" si="5"/>
        <v>Administration</v>
      </c>
      <c r="D195" t="str">
        <f>UPPER('Clean Data'!G194)</f>
        <v>PENDING</v>
      </c>
    </row>
    <row r="196" spans="1:4">
      <c r="A196" t="str">
        <f>'Clean Data'!C195</f>
        <v>Operations</v>
      </c>
      <c r="B196" t="str">
        <f t="shared" ref="B196:B259" si="6">TRIM(A196)</f>
        <v>Operations</v>
      </c>
      <c r="C196" t="str">
        <f t="shared" ref="C196:C259" si="7">PROPER(B196)</f>
        <v>Operations</v>
      </c>
      <c r="D196" t="str">
        <f>UPPER('Clean Data'!G195)</f>
        <v>PENDING</v>
      </c>
    </row>
    <row r="197" spans="1:4">
      <c r="A197" t="str">
        <f>'Clean Data'!C196</f>
        <v>Operations</v>
      </c>
      <c r="B197" t="str">
        <f t="shared" si="6"/>
        <v>Operations</v>
      </c>
      <c r="C197" t="str">
        <f t="shared" si="7"/>
        <v>Operations</v>
      </c>
      <c r="D197" t="str">
        <f>UPPER('Clean Data'!G196)</f>
        <v>SHORTLISTED</v>
      </c>
    </row>
    <row r="198" spans="1:4">
      <c r="A198" t="str">
        <f>'Clean Data'!C197</f>
        <v>IT</v>
      </c>
      <c r="B198" t="str">
        <f t="shared" si="6"/>
        <v>IT</v>
      </c>
      <c r="C198" t="str">
        <f t="shared" si="7"/>
        <v>It</v>
      </c>
      <c r="D198" t="str">
        <f>UPPER('Clean Data'!G197)</f>
        <v>REJECTED</v>
      </c>
    </row>
    <row r="199" spans="1:4">
      <c r="A199" t="str">
        <f>'Clean Data'!C198</f>
        <v>Sales</v>
      </c>
      <c r="B199" t="str">
        <f t="shared" si="6"/>
        <v>Sales</v>
      </c>
      <c r="C199" t="str">
        <f t="shared" si="7"/>
        <v>Sales</v>
      </c>
      <c r="D199" t="str">
        <f>UPPER('Clean Data'!G198)</f>
        <v>SHORTLISTED</v>
      </c>
    </row>
    <row r="200" spans="1:4">
      <c r="A200" t="str">
        <f>'Clean Data'!C199</f>
        <v>Operations</v>
      </c>
      <c r="B200" t="str">
        <f t="shared" si="6"/>
        <v>Operations</v>
      </c>
      <c r="C200" t="str">
        <f t="shared" si="7"/>
        <v>Operations</v>
      </c>
      <c r="D200" t="str">
        <f>UPPER('Clean Data'!G199)</f>
        <v>PENDING</v>
      </c>
    </row>
    <row r="201" spans="1:4">
      <c r="A201" t="str">
        <f>'Clean Data'!C200</f>
        <v>IT</v>
      </c>
      <c r="B201" t="str">
        <f t="shared" si="6"/>
        <v>IT</v>
      </c>
      <c r="C201" t="str">
        <f t="shared" si="7"/>
        <v>It</v>
      </c>
      <c r="D201" t="str">
        <f>UPPER('Clean Data'!G200)</f>
        <v>REJECTED</v>
      </c>
    </row>
    <row r="202" spans="1:4">
      <c r="A202" t="str">
        <f>'Clean Data'!C201</f>
        <v>Sales</v>
      </c>
      <c r="B202" t="str">
        <f t="shared" si="6"/>
        <v>Sales</v>
      </c>
      <c r="C202" t="str">
        <f t="shared" si="7"/>
        <v>Sales</v>
      </c>
      <c r="D202" t="str">
        <f>UPPER('Clean Data'!G201)</f>
        <v>REJECTED</v>
      </c>
    </row>
    <row r="203" spans="1:4">
      <c r="A203" t="str">
        <f>'Clean Data'!C202</f>
        <v>Sales</v>
      </c>
      <c r="B203" t="str">
        <f t="shared" si="6"/>
        <v>Sales</v>
      </c>
      <c r="C203" t="str">
        <f t="shared" si="7"/>
        <v>Sales</v>
      </c>
      <c r="D203" t="str">
        <f>UPPER('Clean Data'!G202)</f>
        <v>HIRED</v>
      </c>
    </row>
    <row r="204" spans="1:4">
      <c r="A204" t="str">
        <f>'Clean Data'!C203</f>
        <v>HR</v>
      </c>
      <c r="B204" t="str">
        <f t="shared" si="6"/>
        <v>HR</v>
      </c>
      <c r="C204" t="str">
        <f t="shared" si="7"/>
        <v>Hr</v>
      </c>
      <c r="D204" t="str">
        <f>UPPER('Clean Data'!G203)</f>
        <v>REJECTED</v>
      </c>
    </row>
    <row r="205" spans="1:4">
      <c r="A205" t="str">
        <f>'Clean Data'!C204</f>
        <v>Operations</v>
      </c>
      <c r="B205" t="str">
        <f t="shared" si="6"/>
        <v>Operations</v>
      </c>
      <c r="C205" t="str">
        <f t="shared" si="7"/>
        <v>Operations</v>
      </c>
      <c r="D205" t="str">
        <f>UPPER('Clean Data'!G204)</f>
        <v>SHORTLISTED</v>
      </c>
    </row>
    <row r="206" spans="1:4">
      <c r="A206" t="str">
        <f>'Clean Data'!C205</f>
        <v>HR</v>
      </c>
      <c r="B206" t="str">
        <f t="shared" si="6"/>
        <v>HR</v>
      </c>
      <c r="C206" t="str">
        <f t="shared" si="7"/>
        <v>Hr</v>
      </c>
      <c r="D206" t="str">
        <f>UPPER('Clean Data'!G205)</f>
        <v>HIRED</v>
      </c>
    </row>
    <row r="207" spans="1:4">
      <c r="A207" t="str">
        <f>'Clean Data'!C206</f>
        <v>Sales</v>
      </c>
      <c r="B207" t="str">
        <f t="shared" si="6"/>
        <v>Sales</v>
      </c>
      <c r="C207" t="str">
        <f t="shared" si="7"/>
        <v>Sales</v>
      </c>
      <c r="D207" t="str">
        <f>UPPER('Clean Data'!G206)</f>
        <v>HIRED</v>
      </c>
    </row>
    <row r="208" spans="1:4">
      <c r="A208" t="str">
        <f>'Clean Data'!C207</f>
        <v>Sales</v>
      </c>
      <c r="B208" t="str">
        <f t="shared" si="6"/>
        <v>Sales</v>
      </c>
      <c r="C208" t="str">
        <f t="shared" si="7"/>
        <v>Sales</v>
      </c>
      <c r="D208" t="str">
        <f>UPPER('Clean Data'!G207)</f>
        <v>SHORTLISTED</v>
      </c>
    </row>
    <row r="209" spans="1:4">
      <c r="A209" t="str">
        <f>'Clean Data'!C208</f>
        <v>Unknown</v>
      </c>
      <c r="B209" t="str">
        <f t="shared" si="6"/>
        <v>Unknown</v>
      </c>
      <c r="C209" t="str">
        <f t="shared" si="7"/>
        <v>Unknown</v>
      </c>
      <c r="D209" t="str">
        <f>UPPER('Clean Data'!G208)</f>
        <v>REJECTED</v>
      </c>
    </row>
    <row r="210" spans="1:4">
      <c r="A210" t="str">
        <f>'Clean Data'!C209</f>
        <v>IT</v>
      </c>
      <c r="B210" t="str">
        <f t="shared" si="6"/>
        <v>IT</v>
      </c>
      <c r="C210" t="str">
        <f t="shared" si="7"/>
        <v>It</v>
      </c>
      <c r="D210" t="str">
        <f>UPPER('Clean Data'!G209)</f>
        <v>HIRED</v>
      </c>
    </row>
    <row r="211" spans="1:4">
      <c r="A211" t="str">
        <f>'Clean Data'!C210</f>
        <v>Administration</v>
      </c>
      <c r="B211" t="str">
        <f t="shared" si="6"/>
        <v>Administration</v>
      </c>
      <c r="C211" t="str">
        <f t="shared" si="7"/>
        <v>Administration</v>
      </c>
      <c r="D211" t="str">
        <f>UPPER('Clean Data'!G210)</f>
        <v>PENDING</v>
      </c>
    </row>
    <row r="212" spans="1:4">
      <c r="A212" t="str">
        <f>'Clean Data'!C211</f>
        <v>Administration</v>
      </c>
      <c r="B212" t="str">
        <f t="shared" si="6"/>
        <v>Administration</v>
      </c>
      <c r="C212" t="str">
        <f t="shared" si="7"/>
        <v>Administration</v>
      </c>
      <c r="D212" t="str">
        <f>UPPER('Clean Data'!G211)</f>
        <v>HIRED</v>
      </c>
    </row>
    <row r="213" spans="1:4">
      <c r="A213" t="str">
        <f>'Clean Data'!C212</f>
        <v>HR</v>
      </c>
      <c r="B213" t="str">
        <f t="shared" si="6"/>
        <v>HR</v>
      </c>
      <c r="C213" t="str">
        <f t="shared" si="7"/>
        <v>Hr</v>
      </c>
      <c r="D213" t="str">
        <f>UPPER('Clean Data'!G212)</f>
        <v>PENDING</v>
      </c>
    </row>
    <row r="214" spans="1:4">
      <c r="A214" t="str">
        <f>'Clean Data'!C213</f>
        <v>Operations</v>
      </c>
      <c r="B214" t="str">
        <f t="shared" si="6"/>
        <v>Operations</v>
      </c>
      <c r="C214" t="str">
        <f t="shared" si="7"/>
        <v>Operations</v>
      </c>
      <c r="D214" t="str">
        <f>UPPER('Clean Data'!G213)</f>
        <v>HIRED</v>
      </c>
    </row>
    <row r="215" spans="1:4">
      <c r="A215" t="str">
        <f>'Clean Data'!C214</f>
        <v>Operations</v>
      </c>
      <c r="B215" t="str">
        <f t="shared" si="6"/>
        <v>Operations</v>
      </c>
      <c r="C215" t="str">
        <f t="shared" si="7"/>
        <v>Operations</v>
      </c>
      <c r="D215" t="str">
        <f>UPPER('Clean Data'!G214)</f>
        <v>PENDING</v>
      </c>
    </row>
    <row r="216" spans="1:4">
      <c r="A216" t="str">
        <f>'Clean Data'!C215</f>
        <v>HR</v>
      </c>
      <c r="B216" t="str">
        <f t="shared" si="6"/>
        <v>HR</v>
      </c>
      <c r="C216" t="str">
        <f t="shared" si="7"/>
        <v>Hr</v>
      </c>
      <c r="D216" t="str">
        <f>UPPER('Clean Data'!G215)</f>
        <v>HIRED</v>
      </c>
    </row>
    <row r="217" spans="1:4">
      <c r="A217" t="str">
        <f>'Clean Data'!C216</f>
        <v>HR</v>
      </c>
      <c r="B217" t="str">
        <f t="shared" si="6"/>
        <v>HR</v>
      </c>
      <c r="C217" t="str">
        <f t="shared" si="7"/>
        <v>Hr</v>
      </c>
      <c r="D217" t="str">
        <f>UPPER('Clean Data'!G216)</f>
        <v>REJECTED</v>
      </c>
    </row>
    <row r="218" spans="1:4">
      <c r="A218" t="str">
        <f>'Clean Data'!C217</f>
        <v>Finance</v>
      </c>
      <c r="B218" t="str">
        <f t="shared" si="6"/>
        <v>Finance</v>
      </c>
      <c r="C218" t="str">
        <f t="shared" si="7"/>
        <v>Finance</v>
      </c>
      <c r="D218" t="str">
        <f>UPPER('Clean Data'!G217)</f>
        <v>HIRED</v>
      </c>
    </row>
    <row r="219" spans="1:4">
      <c r="A219" t="str">
        <f>'Clean Data'!C218</f>
        <v>Finance</v>
      </c>
      <c r="B219" t="str">
        <f t="shared" si="6"/>
        <v>Finance</v>
      </c>
      <c r="C219" t="str">
        <f t="shared" si="7"/>
        <v>Finance</v>
      </c>
      <c r="D219" t="str">
        <f>UPPER('Clean Data'!G218)</f>
        <v>PENDING</v>
      </c>
    </row>
    <row r="220" spans="1:4">
      <c r="A220" t="str">
        <f>'Clean Data'!C219</f>
        <v>Sales</v>
      </c>
      <c r="B220" t="str">
        <f t="shared" si="6"/>
        <v>Sales</v>
      </c>
      <c r="C220" t="str">
        <f t="shared" si="7"/>
        <v>Sales</v>
      </c>
      <c r="D220" t="str">
        <f>UPPER('Clean Data'!G219)</f>
        <v>PENDING</v>
      </c>
    </row>
    <row r="221" spans="1:4">
      <c r="A221" t="str">
        <f>'Clean Data'!C220</f>
        <v>HR</v>
      </c>
      <c r="B221" t="str">
        <f t="shared" si="6"/>
        <v>HR</v>
      </c>
      <c r="C221" t="str">
        <f t="shared" si="7"/>
        <v>Hr</v>
      </c>
      <c r="D221" t="str">
        <f>UPPER('Clean Data'!G220)</f>
        <v>PENDING</v>
      </c>
    </row>
    <row r="222" spans="1:4">
      <c r="A222" t="str">
        <f>'Clean Data'!C221</f>
        <v>Operations</v>
      </c>
      <c r="B222" t="str">
        <f t="shared" si="6"/>
        <v>Operations</v>
      </c>
      <c r="C222" t="str">
        <f t="shared" si="7"/>
        <v>Operations</v>
      </c>
      <c r="D222" t="str">
        <f>UPPER('Clean Data'!G221)</f>
        <v>SHORTLISTED</v>
      </c>
    </row>
    <row r="223" spans="1:4">
      <c r="A223" t="str">
        <f>'Clean Data'!C222</f>
        <v>Finance</v>
      </c>
      <c r="B223" t="str">
        <f t="shared" si="6"/>
        <v>Finance</v>
      </c>
      <c r="C223" t="str">
        <f t="shared" si="7"/>
        <v>Finance</v>
      </c>
      <c r="D223" t="str">
        <f>UPPER('Clean Data'!G222)</f>
        <v>HIRED</v>
      </c>
    </row>
    <row r="224" spans="1:4">
      <c r="A224" t="str">
        <f>'Clean Data'!C223</f>
        <v>Administration</v>
      </c>
      <c r="B224" t="str">
        <f t="shared" si="6"/>
        <v>Administration</v>
      </c>
      <c r="C224" t="str">
        <f t="shared" si="7"/>
        <v>Administration</v>
      </c>
      <c r="D224" t="str">
        <f>UPPER('Clean Data'!G223)</f>
        <v>HIRED</v>
      </c>
    </row>
    <row r="225" spans="1:4">
      <c r="A225" t="str">
        <f>'Clean Data'!C224</f>
        <v>Unknown</v>
      </c>
      <c r="B225" t="str">
        <f t="shared" si="6"/>
        <v>Unknown</v>
      </c>
      <c r="C225" t="str">
        <f t="shared" si="7"/>
        <v>Unknown</v>
      </c>
      <c r="D225" t="str">
        <f>UPPER('Clean Data'!G224)</f>
        <v>REJECTED</v>
      </c>
    </row>
    <row r="226" spans="1:4">
      <c r="A226" t="str">
        <f>'Clean Data'!C225</f>
        <v>Sales</v>
      </c>
      <c r="B226" t="str">
        <f t="shared" si="6"/>
        <v>Sales</v>
      </c>
      <c r="C226" t="str">
        <f t="shared" si="7"/>
        <v>Sales</v>
      </c>
      <c r="D226" t="str">
        <f>UPPER('Clean Data'!G225)</f>
        <v>PENDING</v>
      </c>
    </row>
    <row r="227" spans="1:4">
      <c r="A227" t="str">
        <f>'Clean Data'!C226</f>
        <v>Finance</v>
      </c>
      <c r="B227" t="str">
        <f t="shared" si="6"/>
        <v>Finance</v>
      </c>
      <c r="C227" t="str">
        <f t="shared" si="7"/>
        <v>Finance</v>
      </c>
      <c r="D227" t="str">
        <f>UPPER('Clean Data'!G226)</f>
        <v>SHORTLISTED</v>
      </c>
    </row>
    <row r="228" spans="1:4">
      <c r="A228" t="str">
        <f>'Clean Data'!C227</f>
        <v>Finance</v>
      </c>
      <c r="B228" t="str">
        <f t="shared" si="6"/>
        <v>Finance</v>
      </c>
      <c r="C228" t="str">
        <f t="shared" si="7"/>
        <v>Finance</v>
      </c>
      <c r="D228" t="str">
        <f>UPPER('Clean Data'!G227)</f>
        <v>PENDING</v>
      </c>
    </row>
    <row r="229" spans="1:4">
      <c r="A229" t="str">
        <f>'Clean Data'!C228</f>
        <v>Sales</v>
      </c>
      <c r="B229" t="str">
        <f t="shared" si="6"/>
        <v>Sales</v>
      </c>
      <c r="C229" t="str">
        <f t="shared" si="7"/>
        <v>Sales</v>
      </c>
      <c r="D229" t="str">
        <f>UPPER('Clean Data'!G228)</f>
        <v>HIRED</v>
      </c>
    </row>
    <row r="230" spans="1:4">
      <c r="A230" t="str">
        <f>'Clean Data'!C229</f>
        <v>IT</v>
      </c>
      <c r="B230" t="str">
        <f t="shared" si="6"/>
        <v>IT</v>
      </c>
      <c r="C230" t="str">
        <f t="shared" si="7"/>
        <v>It</v>
      </c>
      <c r="D230" t="str">
        <f>UPPER('Clean Data'!G229)</f>
        <v>SHORTLISTED</v>
      </c>
    </row>
    <row r="231" spans="1:4">
      <c r="A231" t="str">
        <f>'Clean Data'!C230</f>
        <v>Sales</v>
      </c>
      <c r="B231" t="str">
        <f t="shared" si="6"/>
        <v>Sales</v>
      </c>
      <c r="C231" t="str">
        <f t="shared" si="7"/>
        <v>Sales</v>
      </c>
      <c r="D231" t="str">
        <f>UPPER('Clean Data'!G230)</f>
        <v>HIRED</v>
      </c>
    </row>
    <row r="232" spans="1:4">
      <c r="A232" t="str">
        <f>'Clean Data'!C231</f>
        <v>Finance</v>
      </c>
      <c r="B232" t="str">
        <f t="shared" si="6"/>
        <v>Finance</v>
      </c>
      <c r="C232" t="str">
        <f t="shared" si="7"/>
        <v>Finance</v>
      </c>
      <c r="D232" t="str">
        <f>UPPER('Clean Data'!G231)</f>
        <v>HIRED</v>
      </c>
    </row>
    <row r="233" spans="1:4">
      <c r="A233" t="str">
        <f>'Clean Data'!C232</f>
        <v>Operations</v>
      </c>
      <c r="B233" t="str">
        <f t="shared" si="6"/>
        <v>Operations</v>
      </c>
      <c r="C233" t="str">
        <f t="shared" si="7"/>
        <v>Operations</v>
      </c>
      <c r="D233" t="str">
        <f>UPPER('Clean Data'!G232)</f>
        <v>PENDING</v>
      </c>
    </row>
    <row r="234" spans="1:4">
      <c r="A234" t="str">
        <f>'Clean Data'!C233</f>
        <v>Sales</v>
      </c>
      <c r="B234" t="str">
        <f t="shared" si="6"/>
        <v>Sales</v>
      </c>
      <c r="C234" t="str">
        <f t="shared" si="7"/>
        <v>Sales</v>
      </c>
      <c r="D234" t="str">
        <f>UPPER('Clean Data'!G233)</f>
        <v>SHORTLISTED</v>
      </c>
    </row>
    <row r="235" spans="1:4">
      <c r="A235" t="str">
        <f>'Clean Data'!C234</f>
        <v>Finance</v>
      </c>
      <c r="B235" t="str">
        <f t="shared" si="6"/>
        <v>Finance</v>
      </c>
      <c r="C235" t="str">
        <f t="shared" si="7"/>
        <v>Finance</v>
      </c>
      <c r="D235" t="str">
        <f>UPPER('Clean Data'!G234)</f>
        <v>SHORTLISTED</v>
      </c>
    </row>
    <row r="236" spans="1:4">
      <c r="A236" t="str">
        <f>'Clean Data'!C235</f>
        <v>HR</v>
      </c>
      <c r="B236" t="str">
        <f t="shared" si="6"/>
        <v>HR</v>
      </c>
      <c r="C236" t="str">
        <f t="shared" si="7"/>
        <v>Hr</v>
      </c>
      <c r="D236" t="str">
        <f>UPPER('Clean Data'!G235)</f>
        <v>REJECTED</v>
      </c>
    </row>
    <row r="237" spans="1:4">
      <c r="A237" t="str">
        <f>'Clean Data'!C236</f>
        <v>IT</v>
      </c>
      <c r="B237" t="str">
        <f t="shared" si="6"/>
        <v>IT</v>
      </c>
      <c r="C237" t="str">
        <f t="shared" si="7"/>
        <v>It</v>
      </c>
      <c r="D237" t="str">
        <f>UPPER('Clean Data'!G236)</f>
        <v>REJECTED</v>
      </c>
    </row>
    <row r="238" spans="1:4">
      <c r="A238" t="str">
        <f>'Clean Data'!C237</f>
        <v>Sales</v>
      </c>
      <c r="B238" t="str">
        <f t="shared" si="6"/>
        <v>Sales</v>
      </c>
      <c r="C238" t="str">
        <f t="shared" si="7"/>
        <v>Sales</v>
      </c>
      <c r="D238" t="str">
        <f>UPPER('Clean Data'!G237)</f>
        <v>PENDING</v>
      </c>
    </row>
    <row r="239" spans="1:4">
      <c r="A239" t="str">
        <f>'Clean Data'!C238</f>
        <v>Operations</v>
      </c>
      <c r="B239" t="str">
        <f t="shared" si="6"/>
        <v>Operations</v>
      </c>
      <c r="C239" t="str">
        <f t="shared" si="7"/>
        <v>Operations</v>
      </c>
      <c r="D239" t="str">
        <f>UPPER('Clean Data'!G238)</f>
        <v>SHORTLISTED</v>
      </c>
    </row>
    <row r="240" spans="1:4">
      <c r="A240" t="str">
        <f>'Clean Data'!C239</f>
        <v>Administration</v>
      </c>
      <c r="B240" t="str">
        <f t="shared" si="6"/>
        <v>Administration</v>
      </c>
      <c r="C240" t="str">
        <f t="shared" si="7"/>
        <v>Administration</v>
      </c>
      <c r="D240" t="str">
        <f>UPPER('Clean Data'!G239)</f>
        <v>REJECTED</v>
      </c>
    </row>
    <row r="241" spans="1:4">
      <c r="A241" t="str">
        <f>'Clean Data'!C240</f>
        <v>Finance</v>
      </c>
      <c r="B241" t="str">
        <f t="shared" si="6"/>
        <v>Finance</v>
      </c>
      <c r="C241" t="str">
        <f t="shared" si="7"/>
        <v>Finance</v>
      </c>
      <c r="D241" t="str">
        <f>UPPER('Clean Data'!G240)</f>
        <v>SHORTLISTED</v>
      </c>
    </row>
    <row r="242" spans="1:4">
      <c r="A242" t="str">
        <f>'Clean Data'!C241</f>
        <v>Sales</v>
      </c>
      <c r="B242" t="str">
        <f t="shared" si="6"/>
        <v>Sales</v>
      </c>
      <c r="C242" t="str">
        <f t="shared" si="7"/>
        <v>Sales</v>
      </c>
      <c r="D242" t="str">
        <f>UPPER('Clean Data'!G241)</f>
        <v>REJECTED</v>
      </c>
    </row>
    <row r="243" spans="1:4">
      <c r="A243" t="str">
        <f>'Clean Data'!C242</f>
        <v>IT</v>
      </c>
      <c r="B243" t="str">
        <f t="shared" si="6"/>
        <v>IT</v>
      </c>
      <c r="C243" t="str">
        <f t="shared" si="7"/>
        <v>It</v>
      </c>
      <c r="D243" t="str">
        <f>UPPER('Clean Data'!G242)</f>
        <v>REJECTED</v>
      </c>
    </row>
    <row r="244" spans="1:4">
      <c r="A244" t="str">
        <f>'Clean Data'!C243</f>
        <v>Operations</v>
      </c>
      <c r="B244" t="str">
        <f t="shared" si="6"/>
        <v>Operations</v>
      </c>
      <c r="C244" t="str">
        <f t="shared" si="7"/>
        <v>Operations</v>
      </c>
      <c r="D244" t="str">
        <f>UPPER('Clean Data'!G243)</f>
        <v>HIRED</v>
      </c>
    </row>
    <row r="245" spans="1:4">
      <c r="A245" t="str">
        <f>'Clean Data'!C244</f>
        <v>Unknown</v>
      </c>
      <c r="B245" t="str">
        <f t="shared" si="6"/>
        <v>Unknown</v>
      </c>
      <c r="C245" t="str">
        <f t="shared" si="7"/>
        <v>Unknown</v>
      </c>
      <c r="D245" t="str">
        <f>UPPER('Clean Data'!G244)</f>
        <v>SHORTLISTED</v>
      </c>
    </row>
    <row r="246" spans="1:4">
      <c r="A246" t="str">
        <f>'Clean Data'!C245</f>
        <v>Unknown</v>
      </c>
      <c r="B246" t="str">
        <f t="shared" si="6"/>
        <v>Unknown</v>
      </c>
      <c r="C246" t="str">
        <f t="shared" si="7"/>
        <v>Unknown</v>
      </c>
      <c r="D246" t="str">
        <f>UPPER('Clean Data'!G245)</f>
        <v>HIRED</v>
      </c>
    </row>
    <row r="247" spans="1:4">
      <c r="A247" t="str">
        <f>'Clean Data'!C246</f>
        <v>Operations</v>
      </c>
      <c r="B247" t="str">
        <f t="shared" si="6"/>
        <v>Operations</v>
      </c>
      <c r="C247" t="str">
        <f t="shared" si="7"/>
        <v>Operations</v>
      </c>
      <c r="D247" t="str">
        <f>UPPER('Clean Data'!G246)</f>
        <v>HIRED</v>
      </c>
    </row>
    <row r="248" spans="1:4">
      <c r="A248" t="str">
        <f>'Clean Data'!C247</f>
        <v>HR</v>
      </c>
      <c r="B248" t="str">
        <f t="shared" si="6"/>
        <v>HR</v>
      </c>
      <c r="C248" t="str">
        <f t="shared" si="7"/>
        <v>Hr</v>
      </c>
      <c r="D248" t="str">
        <f>UPPER('Clean Data'!G247)</f>
        <v>PENDING</v>
      </c>
    </row>
    <row r="249" spans="1:4">
      <c r="A249" t="str">
        <f>'Clean Data'!C248</f>
        <v>Administration</v>
      </c>
      <c r="B249" t="str">
        <f t="shared" si="6"/>
        <v>Administration</v>
      </c>
      <c r="C249" t="str">
        <f t="shared" si="7"/>
        <v>Administration</v>
      </c>
      <c r="D249" t="str">
        <f>UPPER('Clean Data'!G248)</f>
        <v>SHORTLISTED</v>
      </c>
    </row>
    <row r="250" spans="1:4">
      <c r="A250" t="str">
        <f>'Clean Data'!C249</f>
        <v>Administration</v>
      </c>
      <c r="B250" t="str">
        <f t="shared" si="6"/>
        <v>Administration</v>
      </c>
      <c r="C250" t="str">
        <f t="shared" si="7"/>
        <v>Administration</v>
      </c>
      <c r="D250" t="str">
        <f>UPPER('Clean Data'!G249)</f>
        <v>HIRED</v>
      </c>
    </row>
    <row r="251" spans="1:4">
      <c r="A251" t="str">
        <f>'Clean Data'!C250</f>
        <v>Operations</v>
      </c>
      <c r="B251" t="str">
        <f t="shared" si="6"/>
        <v>Operations</v>
      </c>
      <c r="C251" t="str">
        <f t="shared" si="7"/>
        <v>Operations</v>
      </c>
      <c r="D251" t="str">
        <f>UPPER('Clean Data'!G250)</f>
        <v>REJECTED</v>
      </c>
    </row>
    <row r="252" spans="1:4">
      <c r="A252" t="str">
        <f>'Clean Data'!C251</f>
        <v>Finance</v>
      </c>
      <c r="B252" t="str">
        <f t="shared" si="6"/>
        <v>Finance</v>
      </c>
      <c r="C252" t="str">
        <f t="shared" si="7"/>
        <v>Finance</v>
      </c>
      <c r="D252" t="str">
        <f>UPPER('Clean Data'!G251)</f>
        <v>SHORTLISTED</v>
      </c>
    </row>
    <row r="253" spans="1:4">
      <c r="A253" t="str">
        <f>'Clean Data'!C252</f>
        <v>Sales</v>
      </c>
      <c r="B253" t="str">
        <f t="shared" si="6"/>
        <v>Sales</v>
      </c>
      <c r="C253" t="str">
        <f t="shared" si="7"/>
        <v>Sales</v>
      </c>
      <c r="D253" t="str">
        <f>UPPER('Clean Data'!G252)</f>
        <v>HIRED</v>
      </c>
    </row>
    <row r="254" spans="1:4">
      <c r="A254" t="str">
        <f>'Clean Data'!C253</f>
        <v>IT</v>
      </c>
      <c r="B254" t="str">
        <f t="shared" si="6"/>
        <v>IT</v>
      </c>
      <c r="C254" t="str">
        <f t="shared" si="7"/>
        <v>It</v>
      </c>
      <c r="D254" t="str">
        <f>UPPER('Clean Data'!G253)</f>
        <v>REJECTED</v>
      </c>
    </row>
    <row r="255" spans="1:4">
      <c r="A255" t="str">
        <f>'Clean Data'!C254</f>
        <v>Sales</v>
      </c>
      <c r="B255" t="str">
        <f t="shared" si="6"/>
        <v>Sales</v>
      </c>
      <c r="C255" t="str">
        <f t="shared" si="7"/>
        <v>Sales</v>
      </c>
      <c r="D255" t="str">
        <f>UPPER('Clean Data'!G254)</f>
        <v>PENDING</v>
      </c>
    </row>
    <row r="256" spans="1:4">
      <c r="A256" t="str">
        <f>'Clean Data'!C255</f>
        <v>HR</v>
      </c>
      <c r="B256" t="str">
        <f t="shared" si="6"/>
        <v>HR</v>
      </c>
      <c r="C256" t="str">
        <f t="shared" si="7"/>
        <v>Hr</v>
      </c>
      <c r="D256" t="str">
        <f>UPPER('Clean Data'!G255)</f>
        <v>SHORTLISTED</v>
      </c>
    </row>
    <row r="257" spans="1:4">
      <c r="A257" t="str">
        <f>'Clean Data'!C256</f>
        <v>Administration</v>
      </c>
      <c r="B257" t="str">
        <f t="shared" si="6"/>
        <v>Administration</v>
      </c>
      <c r="C257" t="str">
        <f t="shared" si="7"/>
        <v>Administration</v>
      </c>
      <c r="D257" t="str">
        <f>UPPER('Clean Data'!G256)</f>
        <v>HIRED</v>
      </c>
    </row>
    <row r="258" spans="1:4">
      <c r="A258" t="str">
        <f>'Clean Data'!C257</f>
        <v>Sales</v>
      </c>
      <c r="B258" t="str">
        <f t="shared" si="6"/>
        <v>Sales</v>
      </c>
      <c r="C258" t="str">
        <f t="shared" si="7"/>
        <v>Sales</v>
      </c>
      <c r="D258" t="str">
        <f>UPPER('Clean Data'!G257)</f>
        <v>REJECTED</v>
      </c>
    </row>
    <row r="259" spans="1:4">
      <c r="A259" t="str">
        <f>'Clean Data'!C258</f>
        <v>Finance</v>
      </c>
      <c r="B259" t="str">
        <f t="shared" si="6"/>
        <v>Finance</v>
      </c>
      <c r="C259" t="str">
        <f t="shared" si="7"/>
        <v>Finance</v>
      </c>
      <c r="D259" t="str">
        <f>UPPER('Clean Data'!G258)</f>
        <v>PENDING</v>
      </c>
    </row>
    <row r="260" spans="1:4">
      <c r="A260" t="str">
        <f>'Clean Data'!C259</f>
        <v>IT</v>
      </c>
      <c r="B260" t="str">
        <f t="shared" ref="B260:B295" si="8">TRIM(A260)</f>
        <v>IT</v>
      </c>
      <c r="C260" t="str">
        <f t="shared" ref="C260:C296" si="9">PROPER(B260)</f>
        <v>It</v>
      </c>
      <c r="D260" t="str">
        <f>UPPER('Clean Data'!G259)</f>
        <v>HIRED</v>
      </c>
    </row>
    <row r="261" spans="1:4">
      <c r="A261" t="str">
        <f>'Clean Data'!C260</f>
        <v>Finance</v>
      </c>
      <c r="B261" t="str">
        <f t="shared" si="8"/>
        <v>Finance</v>
      </c>
      <c r="C261" t="str">
        <f t="shared" si="9"/>
        <v>Finance</v>
      </c>
      <c r="D261" t="str">
        <f>UPPER('Clean Data'!G260)</f>
        <v>PENDING</v>
      </c>
    </row>
    <row r="262" spans="1:4">
      <c r="A262" t="str">
        <f>'Clean Data'!C261</f>
        <v>Sales</v>
      </c>
      <c r="B262" t="str">
        <f t="shared" si="8"/>
        <v>Sales</v>
      </c>
      <c r="C262" t="str">
        <f t="shared" si="9"/>
        <v>Sales</v>
      </c>
      <c r="D262" t="str">
        <f>UPPER('Clean Data'!G261)</f>
        <v>PENDING</v>
      </c>
    </row>
    <row r="263" spans="1:4">
      <c r="A263" t="str">
        <f>'Clean Data'!C262</f>
        <v>IT</v>
      </c>
      <c r="B263" t="str">
        <f t="shared" si="8"/>
        <v>IT</v>
      </c>
      <c r="C263" t="str">
        <f t="shared" si="9"/>
        <v>It</v>
      </c>
      <c r="D263" t="str">
        <f>UPPER('Clean Data'!G262)</f>
        <v>PENDING</v>
      </c>
    </row>
    <row r="264" spans="1:4">
      <c r="A264" t="str">
        <f>'Clean Data'!C263</f>
        <v>Finance</v>
      </c>
      <c r="B264" t="str">
        <f t="shared" si="8"/>
        <v>Finance</v>
      </c>
      <c r="C264" t="str">
        <f t="shared" si="9"/>
        <v>Finance</v>
      </c>
      <c r="D264" t="str">
        <f>UPPER('Clean Data'!G263)</f>
        <v>HIRED</v>
      </c>
    </row>
    <row r="265" spans="1:4">
      <c r="A265" t="str">
        <f>'Clean Data'!C264</f>
        <v>Finance</v>
      </c>
      <c r="B265" t="str">
        <f t="shared" si="8"/>
        <v>Finance</v>
      </c>
      <c r="C265" t="str">
        <f t="shared" si="9"/>
        <v>Finance</v>
      </c>
      <c r="D265" t="str">
        <f>UPPER('Clean Data'!G264)</f>
        <v>HIRED</v>
      </c>
    </row>
    <row r="266" spans="1:4">
      <c r="A266" t="str">
        <f>'Clean Data'!C265</f>
        <v>IT</v>
      </c>
      <c r="B266" t="str">
        <f t="shared" si="8"/>
        <v>IT</v>
      </c>
      <c r="C266" t="str">
        <f t="shared" si="9"/>
        <v>It</v>
      </c>
      <c r="D266" t="str">
        <f>UPPER('Clean Data'!G265)</f>
        <v>HIRED</v>
      </c>
    </row>
    <row r="267" spans="1:4">
      <c r="A267" t="str">
        <f>'Clean Data'!C266</f>
        <v>Administration</v>
      </c>
      <c r="B267" t="str">
        <f t="shared" si="8"/>
        <v>Administration</v>
      </c>
      <c r="C267" t="str">
        <f t="shared" si="9"/>
        <v>Administration</v>
      </c>
      <c r="D267" t="str">
        <f>UPPER('Clean Data'!G266)</f>
        <v>PENDING</v>
      </c>
    </row>
    <row r="268" spans="1:4">
      <c r="A268" t="str">
        <f>'Clean Data'!C267</f>
        <v>Administration</v>
      </c>
      <c r="B268" t="str">
        <f t="shared" si="8"/>
        <v>Administration</v>
      </c>
      <c r="C268" t="str">
        <f t="shared" si="9"/>
        <v>Administration</v>
      </c>
      <c r="D268" t="str">
        <f>UPPER('Clean Data'!G267)</f>
        <v>SHORTLISTED</v>
      </c>
    </row>
    <row r="269" spans="1:4">
      <c r="A269" t="str">
        <f>'Clean Data'!C268</f>
        <v>IT</v>
      </c>
      <c r="B269" t="str">
        <f t="shared" si="8"/>
        <v>IT</v>
      </c>
      <c r="C269" t="str">
        <f t="shared" si="9"/>
        <v>It</v>
      </c>
      <c r="D269" t="str">
        <f>UPPER('Clean Data'!G268)</f>
        <v>SHORTLISTED</v>
      </c>
    </row>
    <row r="270" spans="1:4">
      <c r="A270" t="str">
        <f>'Clean Data'!C269</f>
        <v>Sales</v>
      </c>
      <c r="B270" t="str">
        <f t="shared" si="8"/>
        <v>Sales</v>
      </c>
      <c r="C270" t="str">
        <f t="shared" si="9"/>
        <v>Sales</v>
      </c>
      <c r="D270" t="str">
        <f>UPPER('Clean Data'!G269)</f>
        <v>HIRED</v>
      </c>
    </row>
    <row r="271" spans="1:4">
      <c r="A271" t="str">
        <f>'Clean Data'!C270</f>
        <v>Sales</v>
      </c>
      <c r="B271" t="str">
        <f t="shared" si="8"/>
        <v>Sales</v>
      </c>
      <c r="C271" t="str">
        <f t="shared" si="9"/>
        <v>Sales</v>
      </c>
      <c r="D271" t="str">
        <f>UPPER('Clean Data'!G270)</f>
        <v>PENDING</v>
      </c>
    </row>
    <row r="272" spans="1:4">
      <c r="A272" t="str">
        <f>'Clean Data'!C271</f>
        <v>HR</v>
      </c>
      <c r="B272" t="str">
        <f t="shared" si="8"/>
        <v>HR</v>
      </c>
      <c r="C272" t="str">
        <f t="shared" si="9"/>
        <v>Hr</v>
      </c>
      <c r="D272" t="str">
        <f>UPPER('Clean Data'!G271)</f>
        <v>REJECTED</v>
      </c>
    </row>
    <row r="273" spans="1:4">
      <c r="A273" t="str">
        <f>'Clean Data'!C272</f>
        <v>HR</v>
      </c>
      <c r="B273" t="str">
        <f t="shared" si="8"/>
        <v>HR</v>
      </c>
      <c r="C273" t="str">
        <f t="shared" si="9"/>
        <v>Hr</v>
      </c>
      <c r="D273" t="str">
        <f>UPPER('Clean Data'!G272)</f>
        <v>PENDING</v>
      </c>
    </row>
    <row r="274" spans="1:4">
      <c r="A274" t="str">
        <f>'Clean Data'!C273</f>
        <v>Sales</v>
      </c>
      <c r="B274" t="str">
        <f t="shared" si="8"/>
        <v>Sales</v>
      </c>
      <c r="C274" t="str">
        <f t="shared" si="9"/>
        <v>Sales</v>
      </c>
      <c r="D274" t="str">
        <f>UPPER('Clean Data'!G273)</f>
        <v>SHORTLISTED</v>
      </c>
    </row>
    <row r="275" spans="1:4">
      <c r="A275" t="str">
        <f>'Clean Data'!C274</f>
        <v>Administration</v>
      </c>
      <c r="B275" t="str">
        <f t="shared" si="8"/>
        <v>Administration</v>
      </c>
      <c r="C275" t="str">
        <f t="shared" si="9"/>
        <v>Administration</v>
      </c>
      <c r="D275" t="str">
        <f>UPPER('Clean Data'!G274)</f>
        <v>PENDING</v>
      </c>
    </row>
    <row r="276" spans="1:4">
      <c r="A276" t="str">
        <f>'Clean Data'!C275</f>
        <v>Finance</v>
      </c>
      <c r="B276" t="str">
        <f t="shared" si="8"/>
        <v>Finance</v>
      </c>
      <c r="C276" t="str">
        <f t="shared" si="9"/>
        <v>Finance</v>
      </c>
      <c r="D276" t="str">
        <f>UPPER('Clean Data'!G275)</f>
        <v>HIRED</v>
      </c>
    </row>
    <row r="277" spans="1:4">
      <c r="A277" t="str">
        <f>'Clean Data'!C276</f>
        <v>Finance</v>
      </c>
      <c r="B277" t="str">
        <f t="shared" si="8"/>
        <v>Finance</v>
      </c>
      <c r="C277" t="str">
        <f t="shared" si="9"/>
        <v>Finance</v>
      </c>
      <c r="D277" t="str">
        <f>UPPER('Clean Data'!G276)</f>
        <v>REJECTED</v>
      </c>
    </row>
    <row r="278" spans="1:4">
      <c r="A278" t="str">
        <f>'Clean Data'!C277</f>
        <v>Sales</v>
      </c>
      <c r="B278" t="str">
        <f t="shared" si="8"/>
        <v>Sales</v>
      </c>
      <c r="C278" t="str">
        <f t="shared" si="9"/>
        <v>Sales</v>
      </c>
      <c r="D278" t="str">
        <f>UPPER('Clean Data'!G277)</f>
        <v>SHORTLISTED</v>
      </c>
    </row>
    <row r="279" spans="1:4">
      <c r="A279" t="str">
        <f>'Clean Data'!C278</f>
        <v>HR</v>
      </c>
      <c r="B279" t="str">
        <f t="shared" si="8"/>
        <v>HR</v>
      </c>
      <c r="C279" t="str">
        <f t="shared" si="9"/>
        <v>Hr</v>
      </c>
      <c r="D279" t="str">
        <f>UPPER('Clean Data'!G278)</f>
        <v>SHORTLISTED</v>
      </c>
    </row>
    <row r="280" spans="1:4">
      <c r="A280" t="str">
        <f>'Clean Data'!C279</f>
        <v>HR</v>
      </c>
      <c r="B280" t="str">
        <f t="shared" si="8"/>
        <v>HR</v>
      </c>
      <c r="C280" t="str">
        <f t="shared" si="9"/>
        <v>Hr</v>
      </c>
      <c r="D280" t="str">
        <f>UPPER('Clean Data'!G279)</f>
        <v>REJECTED</v>
      </c>
    </row>
    <row r="281" spans="1:4">
      <c r="A281" t="str">
        <f>'Clean Data'!C280</f>
        <v>IT</v>
      </c>
      <c r="B281" t="str">
        <f t="shared" si="8"/>
        <v>IT</v>
      </c>
      <c r="C281" t="str">
        <f t="shared" si="9"/>
        <v>It</v>
      </c>
      <c r="D281" t="str">
        <f>UPPER('Clean Data'!G280)</f>
        <v>HIRED</v>
      </c>
    </row>
    <row r="282" spans="1:4">
      <c r="A282" t="str">
        <f>'Clean Data'!C281</f>
        <v>Finance</v>
      </c>
      <c r="B282" t="str">
        <f t="shared" si="8"/>
        <v>Finance</v>
      </c>
      <c r="C282" t="str">
        <f t="shared" si="9"/>
        <v>Finance</v>
      </c>
      <c r="D282" t="str">
        <f>UPPER('Clean Data'!G281)</f>
        <v>PENDING</v>
      </c>
    </row>
    <row r="283" spans="1:4">
      <c r="A283" t="str">
        <f>'Clean Data'!C282</f>
        <v>Sales</v>
      </c>
      <c r="B283" t="str">
        <f t="shared" si="8"/>
        <v>Sales</v>
      </c>
      <c r="C283" t="str">
        <f t="shared" si="9"/>
        <v>Sales</v>
      </c>
      <c r="D283" t="str">
        <f>UPPER('Clean Data'!G282)</f>
        <v>HIRED</v>
      </c>
    </row>
    <row r="284" spans="1:4">
      <c r="A284" t="str">
        <f>'Clean Data'!C283</f>
        <v>IT</v>
      </c>
      <c r="B284" t="str">
        <f t="shared" si="8"/>
        <v>IT</v>
      </c>
      <c r="C284" t="str">
        <f t="shared" si="9"/>
        <v>It</v>
      </c>
      <c r="D284" t="str">
        <f>UPPER('Clean Data'!G283)</f>
        <v>SHORTLISTED</v>
      </c>
    </row>
    <row r="285" spans="1:4">
      <c r="A285" t="str">
        <f>'Clean Data'!C284</f>
        <v>IT</v>
      </c>
      <c r="B285" t="str">
        <f t="shared" si="8"/>
        <v>IT</v>
      </c>
      <c r="C285" t="str">
        <f t="shared" si="9"/>
        <v>It</v>
      </c>
      <c r="D285" t="str">
        <f>UPPER('Clean Data'!G284)</f>
        <v>REJECTED</v>
      </c>
    </row>
    <row r="286" spans="1:4">
      <c r="A286" t="str">
        <f>'Clean Data'!C285</f>
        <v>IT</v>
      </c>
      <c r="B286" t="str">
        <f t="shared" si="8"/>
        <v>IT</v>
      </c>
      <c r="C286" t="str">
        <f t="shared" si="9"/>
        <v>It</v>
      </c>
      <c r="D286" t="str">
        <f>UPPER('Clean Data'!G285)</f>
        <v>REJECTED</v>
      </c>
    </row>
    <row r="287" spans="1:4">
      <c r="A287" t="str">
        <f>'Clean Data'!C286</f>
        <v>Finance</v>
      </c>
      <c r="B287" t="str">
        <f t="shared" si="8"/>
        <v>Finance</v>
      </c>
      <c r="C287" t="str">
        <f t="shared" si="9"/>
        <v>Finance</v>
      </c>
      <c r="D287" t="str">
        <f>UPPER('Clean Data'!G286)</f>
        <v>HIRED</v>
      </c>
    </row>
    <row r="288" spans="1:4">
      <c r="A288" t="str">
        <f>'Clean Data'!C287</f>
        <v>Finance</v>
      </c>
      <c r="B288" t="str">
        <f t="shared" si="8"/>
        <v>Finance</v>
      </c>
      <c r="C288" t="str">
        <f t="shared" si="9"/>
        <v>Finance</v>
      </c>
      <c r="D288" t="str">
        <f>UPPER('Clean Data'!G287)</f>
        <v>REJECTED</v>
      </c>
    </row>
    <row r="289" spans="1:4">
      <c r="A289" t="str">
        <f>'Clean Data'!C288</f>
        <v>Finance</v>
      </c>
      <c r="B289" t="str">
        <f t="shared" si="8"/>
        <v>Finance</v>
      </c>
      <c r="C289" t="str">
        <f t="shared" si="9"/>
        <v>Finance</v>
      </c>
      <c r="D289" t="str">
        <f>UPPER('Clean Data'!G288)</f>
        <v>REJECTED</v>
      </c>
    </row>
    <row r="290" spans="1:4">
      <c r="A290" t="str">
        <f>'Clean Data'!C289</f>
        <v>IT</v>
      </c>
      <c r="B290" t="str">
        <f t="shared" si="8"/>
        <v>IT</v>
      </c>
      <c r="C290" t="str">
        <f t="shared" si="9"/>
        <v>It</v>
      </c>
      <c r="D290" t="str">
        <f>UPPER('Clean Data'!G289)</f>
        <v>REJECTED</v>
      </c>
    </row>
    <row r="291" spans="1:4">
      <c r="A291" t="str">
        <f>'Clean Data'!C290</f>
        <v>Administration</v>
      </c>
      <c r="B291" t="str">
        <f t="shared" si="8"/>
        <v>Administration</v>
      </c>
      <c r="C291" t="str">
        <f t="shared" si="9"/>
        <v>Administration</v>
      </c>
      <c r="D291" t="str">
        <f>UPPER('Clean Data'!G290)</f>
        <v>PENDING</v>
      </c>
    </row>
    <row r="292" spans="1:4">
      <c r="A292" t="str">
        <f>'Clean Data'!C291</f>
        <v>Operations</v>
      </c>
      <c r="B292" t="str">
        <f t="shared" si="8"/>
        <v>Operations</v>
      </c>
      <c r="C292" t="str">
        <f t="shared" si="9"/>
        <v>Operations</v>
      </c>
      <c r="D292" t="str">
        <f>UPPER('Clean Data'!G291)</f>
        <v>HIRED</v>
      </c>
    </row>
    <row r="293" spans="1:4">
      <c r="A293" t="str">
        <f>'Clean Data'!C292</f>
        <v>Administration</v>
      </c>
      <c r="B293" t="str">
        <f t="shared" si="8"/>
        <v>Administration</v>
      </c>
      <c r="C293" t="str">
        <f t="shared" si="9"/>
        <v>Administration</v>
      </c>
      <c r="D293" t="str">
        <f>UPPER('Clean Data'!G292)</f>
        <v>PENDING</v>
      </c>
    </row>
    <row r="294" spans="1:4">
      <c r="A294" t="str">
        <f>'Clean Data'!C293</f>
        <v>Finance</v>
      </c>
      <c r="B294" t="str">
        <f t="shared" si="8"/>
        <v>Finance</v>
      </c>
      <c r="C294" t="str">
        <f t="shared" si="9"/>
        <v>Finance</v>
      </c>
      <c r="D294" t="str">
        <f>UPPER('Clean Data'!G293)</f>
        <v>HIRED</v>
      </c>
    </row>
    <row r="295" spans="1:4">
      <c r="A295" t="str">
        <f>'Clean Data'!C294</f>
        <v>Unknown</v>
      </c>
      <c r="B295" t="str">
        <f t="shared" si="8"/>
        <v>Unknown</v>
      </c>
      <c r="C295" t="str">
        <f t="shared" si="9"/>
        <v>Unknown</v>
      </c>
      <c r="D295" t="str">
        <f>UPPER('Clean Data'!G294)</f>
        <v>SHORTLISTED</v>
      </c>
    </row>
    <row r="296" spans="1:4">
      <c r="C296" t="str">
        <f t="shared" si="9"/>
        <v/>
      </c>
    </row>
  </sheetData>
  <mergeCells count="3">
    <mergeCell ref="A1:D1"/>
    <mergeCell ref="F9:G9"/>
    <mergeCell ref="F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BE86-3C7D-48A9-81EC-7D0B7C872675}">
  <sheetPr>
    <tabColor theme="8" tint="0.59999389629810485"/>
  </sheetPr>
  <dimension ref="B2:I23"/>
  <sheetViews>
    <sheetView zoomScale="81" workbookViewId="0">
      <selection activeCell="E34" sqref="E34"/>
    </sheetView>
  </sheetViews>
  <sheetFormatPr defaultRowHeight="14.5"/>
  <cols>
    <col min="2" max="2" width="13.08984375" bestFit="1" customWidth="1"/>
    <col min="3" max="3" width="20.6328125" bestFit="1" customWidth="1"/>
    <col min="4" max="4" width="7.7265625" bestFit="1" customWidth="1"/>
    <col min="5" max="5" width="13.08984375" bestFit="1" customWidth="1"/>
    <col min="6" max="6" width="24.453125" bestFit="1" customWidth="1"/>
    <col min="7" max="7" width="10.6328125" bestFit="1" customWidth="1"/>
    <col min="8" max="8" width="13.1796875" customWidth="1"/>
    <col min="9" max="9" width="32.7265625" customWidth="1"/>
    <col min="10" max="10" width="24.7265625" bestFit="1" customWidth="1"/>
    <col min="11" max="12" width="15.6328125" bestFit="1" customWidth="1"/>
    <col min="13" max="14" width="10.36328125" bestFit="1" customWidth="1"/>
  </cols>
  <sheetData>
    <row r="2" spans="2:9">
      <c r="B2" s="10" t="s">
        <v>349</v>
      </c>
      <c r="C2" s="10" t="s">
        <v>348</v>
      </c>
    </row>
    <row r="3" spans="2:9">
      <c r="B3" s="10" t="s">
        <v>346</v>
      </c>
      <c r="C3" t="s">
        <v>10</v>
      </c>
      <c r="D3" t="s">
        <v>25</v>
      </c>
      <c r="E3" t="s">
        <v>27</v>
      </c>
      <c r="F3" t="s">
        <v>17</v>
      </c>
      <c r="G3" t="s">
        <v>347</v>
      </c>
      <c r="H3" s="7">
        <v>1</v>
      </c>
    </row>
    <row r="4" spans="2:9">
      <c r="B4" s="11" t="s">
        <v>16</v>
      </c>
      <c r="C4" s="7">
        <v>3</v>
      </c>
      <c r="D4" s="7">
        <v>5</v>
      </c>
      <c r="E4" s="7">
        <v>7</v>
      </c>
      <c r="F4" s="7">
        <v>3</v>
      </c>
      <c r="G4" s="7">
        <v>18</v>
      </c>
    </row>
    <row r="5" spans="2:9">
      <c r="B5" s="11" t="s">
        <v>11</v>
      </c>
      <c r="C5" s="7">
        <v>3</v>
      </c>
      <c r="D5" s="7">
        <v>2</v>
      </c>
      <c r="E5" s="7">
        <v>6</v>
      </c>
      <c r="F5" s="7">
        <v>4</v>
      </c>
      <c r="G5" s="7">
        <v>15</v>
      </c>
    </row>
    <row r="6" spans="2:9">
      <c r="B6" s="11" t="s">
        <v>347</v>
      </c>
      <c r="C6" s="7">
        <v>6</v>
      </c>
      <c r="D6" s="7">
        <v>7</v>
      </c>
      <c r="E6" s="7">
        <v>13</v>
      </c>
      <c r="F6" s="7">
        <v>7</v>
      </c>
      <c r="G6" s="7">
        <v>33</v>
      </c>
    </row>
    <row r="11" spans="2:9">
      <c r="I11">
        <v>2</v>
      </c>
    </row>
    <row r="12" spans="2:9">
      <c r="C12" s="7">
        <v>4</v>
      </c>
      <c r="F12" s="7">
        <v>3</v>
      </c>
    </row>
    <row r="13" spans="2:9">
      <c r="B13" s="10" t="s">
        <v>346</v>
      </c>
      <c r="C13" t="s">
        <v>350</v>
      </c>
      <c r="E13" s="10" t="s">
        <v>346</v>
      </c>
      <c r="F13" t="s">
        <v>349</v>
      </c>
    </row>
    <row r="14" spans="2:9">
      <c r="B14" s="11" t="s">
        <v>16</v>
      </c>
      <c r="C14" s="12">
        <v>1266.3999999999999</v>
      </c>
      <c r="E14" s="11" t="s">
        <v>10</v>
      </c>
      <c r="F14" s="12">
        <v>6</v>
      </c>
    </row>
    <row r="15" spans="2:9">
      <c r="B15" s="11" t="s">
        <v>11</v>
      </c>
      <c r="C15" s="12">
        <v>1086.3999999999999</v>
      </c>
      <c r="E15" s="11" t="s">
        <v>25</v>
      </c>
      <c r="F15" s="12">
        <v>7</v>
      </c>
    </row>
    <row r="16" spans="2:9">
      <c r="B16" s="11" t="s">
        <v>347</v>
      </c>
      <c r="C16" s="12">
        <v>2352.7999999999997</v>
      </c>
      <c r="E16" s="11" t="s">
        <v>27</v>
      </c>
      <c r="F16" s="12">
        <v>13</v>
      </c>
    </row>
    <row r="17" spans="5:6">
      <c r="E17" s="11" t="s">
        <v>17</v>
      </c>
      <c r="F17" s="12">
        <v>7</v>
      </c>
    </row>
    <row r="18" spans="5:6">
      <c r="E18" s="11" t="s">
        <v>347</v>
      </c>
      <c r="F18" s="12">
        <v>33</v>
      </c>
    </row>
    <row r="20" spans="5:6">
      <c r="E20" s="10" t="s">
        <v>346</v>
      </c>
      <c r="F20" t="s">
        <v>351</v>
      </c>
    </row>
    <row r="21" spans="5:6">
      <c r="E21" s="11" t="s">
        <v>16</v>
      </c>
      <c r="F21" s="12">
        <v>8.1666666666666661</v>
      </c>
    </row>
    <row r="22" spans="5:6">
      <c r="E22" s="11" t="s">
        <v>11</v>
      </c>
      <c r="F22" s="12">
        <v>7.1333333333333337</v>
      </c>
    </row>
    <row r="23" spans="5:6">
      <c r="E23" s="11" t="s">
        <v>347</v>
      </c>
      <c r="F23" s="12">
        <v>7.6969696969696972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220B3-1651-44C0-9ABF-EF158FF075B2}">
  <sheetPr>
    <tabColor theme="8" tint="0.79998168889431442"/>
  </sheetPr>
  <dimension ref="A1:V33"/>
  <sheetViews>
    <sheetView showGridLines="0" zoomScale="70" zoomScaleNormal="62" workbookViewId="0">
      <selection activeCell="G19" sqref="G19"/>
    </sheetView>
  </sheetViews>
  <sheetFormatPr defaultRowHeight="14.5"/>
  <cols>
    <col min="3" max="3" width="6.08984375" customWidth="1"/>
    <col min="4" max="4" width="13.36328125" bestFit="1" customWidth="1"/>
    <col min="5" max="5" width="24.36328125" bestFit="1" customWidth="1"/>
    <col min="6" max="6" width="13.36328125" bestFit="1" customWidth="1"/>
    <col min="7" max="7" width="24.90625" bestFit="1" customWidth="1"/>
    <col min="8" max="8" width="13.36328125" bestFit="1" customWidth="1"/>
    <col min="9" max="9" width="20.453125" bestFit="1" customWidth="1"/>
    <col min="10" max="10" width="0.6328125" customWidth="1"/>
    <col min="11" max="11" width="8.7265625" customWidth="1"/>
    <col min="20" max="20" width="9.26953125" customWidth="1"/>
    <col min="21" max="21" width="1.54296875" customWidth="1"/>
  </cols>
  <sheetData>
    <row r="1" spans="1:22" ht="14.5" customHeight="1">
      <c r="A1" s="23" t="s">
        <v>357</v>
      </c>
      <c r="B1" s="23"/>
      <c r="C1" s="23"/>
      <c r="D1" s="23"/>
      <c r="E1" s="23"/>
      <c r="F1" s="23"/>
      <c r="G1" s="23"/>
      <c r="H1" s="23"/>
      <c r="I1" s="23"/>
      <c r="J1" s="23"/>
      <c r="K1" s="23"/>
      <c r="L1" s="23"/>
      <c r="M1" s="23"/>
      <c r="N1" s="23"/>
      <c r="O1" s="23"/>
      <c r="P1" s="23"/>
      <c r="Q1" s="23"/>
      <c r="R1" s="23"/>
      <c r="S1" s="23"/>
      <c r="T1" s="16"/>
      <c r="U1" s="16"/>
      <c r="V1" s="16"/>
    </row>
    <row r="2" spans="1:22" ht="14.5" customHeight="1">
      <c r="A2" s="23"/>
      <c r="B2" s="23"/>
      <c r="C2" s="23"/>
      <c r="D2" s="23"/>
      <c r="E2" s="23"/>
      <c r="F2" s="23"/>
      <c r="G2" s="23"/>
      <c r="H2" s="23"/>
      <c r="I2" s="23"/>
      <c r="J2" s="23"/>
      <c r="K2" s="23"/>
      <c r="L2" s="23"/>
      <c r="M2" s="23"/>
      <c r="N2" s="23"/>
      <c r="O2" s="23"/>
      <c r="P2" s="23"/>
      <c r="Q2" s="23"/>
      <c r="R2" s="23"/>
      <c r="S2" s="23"/>
      <c r="T2" s="16"/>
      <c r="U2" s="16"/>
      <c r="V2" s="16"/>
    </row>
    <row r="3" spans="1:22" ht="29" customHeight="1">
      <c r="A3" s="23"/>
      <c r="B3" s="23"/>
      <c r="C3" s="23"/>
      <c r="D3" s="23"/>
      <c r="E3" s="23"/>
      <c r="F3" s="23"/>
      <c r="G3" s="23"/>
      <c r="H3" s="23"/>
      <c r="I3" s="23"/>
      <c r="J3" s="23"/>
      <c r="K3" s="23"/>
      <c r="L3" s="23"/>
      <c r="M3" s="23"/>
      <c r="N3" s="23"/>
      <c r="O3" s="23"/>
      <c r="P3" s="23"/>
      <c r="Q3" s="23"/>
      <c r="R3" s="23"/>
      <c r="S3" s="23"/>
      <c r="T3" s="16"/>
      <c r="U3" s="16"/>
      <c r="V3" s="16"/>
    </row>
    <row r="4" spans="1:22" ht="14.5" customHeight="1">
      <c r="A4" s="17"/>
      <c r="B4" s="17"/>
      <c r="C4" s="17"/>
    </row>
    <row r="5" spans="1:22" ht="14.5" customHeight="1">
      <c r="A5" s="17"/>
      <c r="B5" s="17"/>
      <c r="C5" s="17"/>
    </row>
    <row r="6" spans="1:22" ht="13" customHeight="1">
      <c r="A6" s="17"/>
      <c r="B6" s="17"/>
      <c r="C6" s="17"/>
    </row>
    <row r="7" spans="1:22" ht="13" customHeight="1">
      <c r="A7" s="17"/>
      <c r="B7" s="17"/>
      <c r="C7" s="17"/>
    </row>
    <row r="8" spans="1:22">
      <c r="A8" s="17"/>
      <c r="B8" s="17"/>
      <c r="C8" s="17"/>
    </row>
    <row r="9" spans="1:22">
      <c r="A9" s="17"/>
      <c r="B9" s="17"/>
      <c r="C9" s="17"/>
    </row>
    <row r="10" spans="1:22">
      <c r="A10" s="17"/>
      <c r="B10" s="17"/>
      <c r="C10" s="17"/>
    </row>
    <row r="11" spans="1:22">
      <c r="A11" s="17"/>
      <c r="B11" s="17"/>
      <c r="C11" s="17"/>
      <c r="D11" s="10" t="s">
        <v>349</v>
      </c>
      <c r="E11" s="10" t="s">
        <v>348</v>
      </c>
    </row>
    <row r="12" spans="1:22">
      <c r="A12" s="17"/>
      <c r="B12" s="17"/>
      <c r="C12" s="17"/>
      <c r="D12" s="10" t="s">
        <v>346</v>
      </c>
      <c r="E12" t="s">
        <v>10</v>
      </c>
      <c r="F12" t="s">
        <v>25</v>
      </c>
      <c r="G12" t="s">
        <v>27</v>
      </c>
      <c r="H12" t="s">
        <v>17</v>
      </c>
      <c r="I12" t="s">
        <v>347</v>
      </c>
    </row>
    <row r="13" spans="1:22">
      <c r="A13" s="17"/>
      <c r="B13" s="17"/>
      <c r="C13" s="17"/>
      <c r="D13" s="11" t="s">
        <v>16</v>
      </c>
      <c r="E13" s="7">
        <v>3</v>
      </c>
      <c r="F13" s="7">
        <v>5</v>
      </c>
      <c r="G13" s="7">
        <v>7</v>
      </c>
      <c r="H13" s="7">
        <v>3</v>
      </c>
      <c r="I13" s="7">
        <v>18</v>
      </c>
    </row>
    <row r="14" spans="1:22">
      <c r="A14" s="17"/>
      <c r="B14" s="17"/>
      <c r="C14" s="17"/>
      <c r="D14" s="11" t="s">
        <v>11</v>
      </c>
      <c r="E14" s="7">
        <v>3</v>
      </c>
      <c r="F14" s="7">
        <v>2</v>
      </c>
      <c r="G14" s="7">
        <v>6</v>
      </c>
      <c r="H14" s="7">
        <v>4</v>
      </c>
      <c r="I14" s="7">
        <v>15</v>
      </c>
    </row>
    <row r="15" spans="1:22">
      <c r="A15" s="17"/>
      <c r="B15" s="17"/>
      <c r="C15" s="17"/>
      <c r="D15" s="11" t="s">
        <v>347</v>
      </c>
      <c r="E15" s="7">
        <v>6</v>
      </c>
      <c r="F15" s="7">
        <v>7</v>
      </c>
      <c r="G15" s="7">
        <v>13</v>
      </c>
      <c r="H15" s="7">
        <v>7</v>
      </c>
      <c r="I15" s="7">
        <v>33</v>
      </c>
    </row>
    <row r="16" spans="1:22">
      <c r="A16" s="17"/>
      <c r="B16" s="17"/>
      <c r="C16" s="17"/>
    </row>
    <row r="17" spans="1:9">
      <c r="A17" s="17"/>
      <c r="B17" s="17"/>
      <c r="C17" s="17"/>
    </row>
    <row r="18" spans="1:9">
      <c r="A18" s="17"/>
      <c r="B18" s="17"/>
      <c r="C18" s="17"/>
    </row>
    <row r="19" spans="1:9">
      <c r="A19" s="17"/>
      <c r="B19" s="17"/>
      <c r="C19" s="17"/>
    </row>
    <row r="20" spans="1:9">
      <c r="A20" s="17"/>
      <c r="B20" s="17"/>
      <c r="C20" s="17"/>
    </row>
    <row r="21" spans="1:9">
      <c r="A21" s="17"/>
      <c r="B21" s="17"/>
      <c r="C21" s="17"/>
    </row>
    <row r="22" spans="1:9">
      <c r="A22" s="17"/>
      <c r="B22" s="17"/>
      <c r="C22" s="17"/>
      <c r="D22" s="10" t="s">
        <v>346</v>
      </c>
      <c r="E22" t="s">
        <v>349</v>
      </c>
      <c r="H22" s="10" t="s">
        <v>346</v>
      </c>
      <c r="I22" t="s">
        <v>350</v>
      </c>
    </row>
    <row r="23" spans="1:9">
      <c r="A23" s="17"/>
      <c r="B23" s="17"/>
      <c r="C23" s="17"/>
      <c r="D23" s="11" t="s">
        <v>10</v>
      </c>
      <c r="E23" s="12">
        <v>6</v>
      </c>
      <c r="F23" s="10" t="s">
        <v>346</v>
      </c>
      <c r="G23" t="s">
        <v>351</v>
      </c>
      <c r="H23" s="11" t="s">
        <v>16</v>
      </c>
      <c r="I23" s="12">
        <v>1266.3999999999999</v>
      </c>
    </row>
    <row r="24" spans="1:9">
      <c r="A24" s="17"/>
      <c r="B24" s="17"/>
      <c r="C24" s="17"/>
      <c r="D24" s="11" t="s">
        <v>25</v>
      </c>
      <c r="E24" s="12">
        <v>7</v>
      </c>
      <c r="F24" s="11" t="s">
        <v>16</v>
      </c>
      <c r="G24" s="12">
        <v>8.1666666666666661</v>
      </c>
      <c r="H24" s="11" t="s">
        <v>11</v>
      </c>
      <c r="I24" s="12">
        <v>1086.3999999999999</v>
      </c>
    </row>
    <row r="25" spans="1:9">
      <c r="A25" s="17"/>
      <c r="B25" s="17"/>
      <c r="C25" s="17"/>
      <c r="D25" s="11" t="s">
        <v>27</v>
      </c>
      <c r="E25" s="12">
        <v>13</v>
      </c>
      <c r="F25" s="11" t="s">
        <v>11</v>
      </c>
      <c r="G25" s="12">
        <v>7.1333333333333337</v>
      </c>
      <c r="H25" s="11" t="s">
        <v>347</v>
      </c>
      <c r="I25" s="12">
        <v>2352.7999999999997</v>
      </c>
    </row>
    <row r="26" spans="1:9">
      <c r="A26" s="17"/>
      <c r="B26" s="17"/>
      <c r="C26" s="17"/>
      <c r="D26" s="11" t="s">
        <v>17</v>
      </c>
      <c r="E26" s="12">
        <v>7</v>
      </c>
      <c r="F26" s="11" t="s">
        <v>347</v>
      </c>
      <c r="G26" s="12">
        <v>7.6969696969696972</v>
      </c>
    </row>
    <row r="27" spans="1:9">
      <c r="A27" s="17"/>
      <c r="B27" s="17"/>
      <c r="C27" s="17"/>
      <c r="D27" s="11" t="s">
        <v>347</v>
      </c>
      <c r="E27" s="12">
        <v>33</v>
      </c>
    </row>
    <row r="28" spans="1:9">
      <c r="A28" s="17"/>
      <c r="B28" s="17"/>
      <c r="C28" s="17"/>
    </row>
    <row r="29" spans="1:9">
      <c r="A29" s="17"/>
      <c r="B29" s="17"/>
      <c r="C29" s="17"/>
    </row>
    <row r="30" spans="1:9">
      <c r="A30" s="17"/>
      <c r="B30" s="17"/>
      <c r="C30" s="17"/>
    </row>
    <row r="31" spans="1:9">
      <c r="A31" s="17"/>
      <c r="B31" s="17"/>
      <c r="C31" s="17"/>
    </row>
    <row r="32" spans="1:9">
      <c r="A32" s="17"/>
      <c r="B32" s="17"/>
      <c r="C32" s="17"/>
    </row>
    <row r="33" spans="1:3" ht="12.5" customHeight="1">
      <c r="A33" s="17"/>
      <c r="B33" s="17"/>
      <c r="C33" s="17"/>
    </row>
  </sheetData>
  <mergeCells count="1">
    <mergeCell ref="A1:S3"/>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Row Data</vt:lpstr>
      <vt:lpstr>Clean Data</vt:lpstr>
      <vt:lpstr>Analysis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Sucdi Yasin</dc:creator>
  <cp:lastModifiedBy>Sucdi Yasin</cp:lastModifiedBy>
  <dcterms:created xsi:type="dcterms:W3CDTF">2026-08-20T17:42:20Z</dcterms:created>
  <dcterms:modified xsi:type="dcterms:W3CDTF">2026-09-01T08:01:28Z</dcterms:modified>
</cp:coreProperties>
</file>